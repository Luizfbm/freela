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1f2ab736a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e4850dfa1bbb4a69"/>
    <x:sheet xmlns:r="http://schemas.openxmlformats.org/officeDocument/2006/relationships" name="Resumo" sheetId="2" r:id="R952528df64234701"/>
    <x:sheet xmlns:r="http://schemas.openxmlformats.org/officeDocument/2006/relationships" name="Top 3" sheetId="3" r:id="R42627360e125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  <x:font>
      <x:b/>
      <x:sz val="15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9FAFB"/>
      </x:patternFill>
    </x:fill>
  </x:fills>
  <x:borders count="12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left"/>
    </x:xf>
    <x:xf numFmtId="0" fontId="1" fillId="0" borderId="6" xfId="0" applyNumberFormat="1" applyFont="1" applyFill="1" applyBorder="1" applyAlignment="1">
      <x:alignment horizontal="left"/>
    </x:xf>
    <x:xf numFmtId="0" fontId="1" fillId="0" borderId="7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0" fontId="1" fillId="0" borderId="9" xfId="0" applyNumberFormat="1" applyFont="1" applyFill="1" applyBorder="1" applyAlignment="1">
      <x:alignment horizontal="left"/>
    </x:xf>
    <x:xf numFmtId="0" fontId="1" fillId="0" borderId="11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 applyAlignment="1">
      <x:alignment horizontal="left"/>
    </x:xf>
    <x:xf numFmtId="0" fontId="1" fillId="2" borderId="6" xfId="0" applyNumberFormat="1" applyFont="1" applyFill="1" applyBorder="1" applyAlignment="1">
      <x:alignment horizontal="left"/>
    </x:xf>
    <x:xf numFmtId="0" fontId="2" fillId="2" borderId="4" xfId="0" applyNumberFormat="1" applyFont="1" applyFill="1" applyBorder="1" applyAlignment="1">
      <x:alignment horizontal="left"/>
    </x:xf>
    <x:xf numFmtId="0" fontId="2" fillId="2" borderId="6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/>
    <x:xf numFmtId="0" fontId="1" fillId="2" borderId="6" xfId="0" applyNumberFormat="1" applyFont="1" applyFill="1" applyBorder="1"/>
    <x:xf numFmtId="0" fontId="2" fillId="2" borderId="4" xfId="0" applyNumberFormat="1" applyFont="1" applyFill="1" applyBorder="1"/>
    <x:xf numFmtId="0" fontId="2" fillId="2" borderId="6" xfId="0" applyNumberFormat="1" applyFont="1" applyFill="1" applyBorder="1"/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528015415423c" /><Relationship Type="http://schemas.openxmlformats.org/officeDocument/2006/relationships/theme" Target="/xl/theme/theme1.xml" Id="R4a3c0456309f4396" /><Relationship Type="http://schemas.openxmlformats.org/officeDocument/2006/relationships/sharedStrings" Target="/xl/sharedStrings.xml" Id="R285b16ae1fa94a07" /><Relationship Type="http://schemas.openxmlformats.org/officeDocument/2006/relationships/worksheet" Target="/xl/worksheets/sheet1.xml" Id="Re4850dfa1bbb4a69" /><Relationship Type="http://schemas.openxmlformats.org/officeDocument/2006/relationships/worksheet" Target="/xl/worksheets/sheet2.xml" Id="R952528df64234701" /><Relationship Type="http://schemas.openxmlformats.org/officeDocument/2006/relationships/worksheet" Target="/xl/worksheets/sheet3.xml" Id="R42627360e125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5.559999465942383" hidden="0" customWidth="1"/>
    <x:col min="3" max="3" width="16.670000076293945" hidden="0" customWidth="1"/>
    <x:col min="4" max="4" width="20" hidden="0" customWidth="1"/>
    <x:col min="5" max="5" width="14.4399995803833" hidden="0" customWidth="1"/>
    <x:col min="6" max="6" width="10" hidden="0" customWidth="1"/>
    <x:col min="7" max="7" width="15.5600004196167" hidden="0" customWidth="1"/>
    <x:col min="8" max="8" width="20" hidden="0" customWidth="1"/>
    <x:col min="9" max="9" width="16.670000076293945" hidden="0" customWidth="1"/>
    <x:col min="10" max="10" width="28.889999389648438" hidden="0" customWidth="1"/>
    <x:col min="11" max="11" width="10.5600004196167" hidden="0" customWidth="1"/>
    <x:col min="12" max="12" width="40" hidden="0" customWidth="1"/>
    <x:col min="13" max="13" width="28.889999389648438" hidden="0" customWidth="1"/>
    <x:col min="14" max="14" width="31.110000610351562" hidden="0" customWidth="1"/>
  </x:cols>
  <x:sheetData>
    <x:row r="1" ht="27" customHeight="1">
      <x:c r="A1" s="13" t="str">
        <x:v>Score</x:v>
      </x:c>
      <x:c r="B1" s="14" t="str">
        <x:v>Negócio</x:v>
      </x:c>
      <x:c r="C1" s="14" t="str">
        <x:v>Segmento</x:v>
      </x:c>
      <x:c r="D1" s="14" t="str">
        <x:v>Categoria</x:v>
      </x:c>
      <x:c r="E1" s="14" t="str">
        <x:v>Área</x:v>
      </x:c>
      <x:c r="F1" s="14" t="str">
        <x:v>Distância</x:v>
      </x:c>
      <x:c r="G1" s="14" t="str">
        <x:v>Status do site</x:v>
      </x:c>
      <x:c r="H1" s="14" t="str">
        <x:v>Website/Social</x:v>
      </x:c>
      <x:c r="I1" s="14" t="str">
        <x:v>Telefone</x:v>
      </x:c>
      <x:c r="J1" s="14" t="str">
        <x:v>Por que é prospect</x:v>
      </x:c>
      <x:c r="K1" s="14" t="str">
        <x:v>Confiança</x:v>
      </x:c>
      <x:c r="L1" s="14" t="str">
        <x:v>Fonte principal</x:v>
      </x:c>
      <x:c r="M1" s="14" t="str">
        <x:v>Notas</x:v>
      </x:c>
      <x:c r="N1" s="15" t="str">
        <x:v>Próxima ação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8" customHeight="1">
      <x:c r="A2" s="33" t="str">
        <x:v>Hot</x:v>
      </x:c>
      <x:c r="B2" s="34" t="str">
        <x:v>Clínica Equilíbrio Fisioterapia</x:v>
      </x:c>
      <x:c r="C2" s="34" t="str">
        <x:v>Fisioterapia/Terapias</x:v>
      </x:c>
      <x:c r="D2" s="34" t="str">
        <x:v>Fisioterapia</x:v>
      </x:c>
      <x:c r="E2" s="34" t="str">
        <x:v>Enseada do Suá</x:v>
      </x:c>
      <x:c r="F2" s="34" t="str">
        <x:v>&lt;=10 km</x:v>
      </x:c>
      <x:c r="G2" s="34" t="str">
        <x:v>Somente social</x:v>
      </x:c>
      <x:c r="H2" s="34" t="str">
        <x:v>Instagram / sem site listado</x:v>
      </x:c>
      <x:c r="I2" s="34" t="str">
        <x:v>(27) 3235-1857</x:v>
      </x:c>
      <x:c r="J2" s="34" t="str">
        <x:v>Clínica ativa com contato e sem site próprio.</x:v>
      </x:c>
      <x:c r="K2" s="34" t="str">
        <x:v>High</x:v>
      </x:c>
      <x:c r="L2" s="34" t="str">
        <x:v>https://br.todosnegocios.com/pt/clinica-equilibrio-fisioterapia-e_1m-27-3235-1857</x:v>
      </x:c>
      <x:c r="M2" s="34" t="str">
        <x:v>Fonte informa Instagram e ausência de site listado.</x:v>
      </x:c>
      <x:c r="N2" s="35" t="str">
        <x:v>Abordar oferecendo site institucional com CTA para WhatsApp.</x:v>
      </x:c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8" customHeight="1">
      <x:c r="A3" s="36" t="str">
        <x:v>Hot</x:v>
      </x:c>
      <x:c r="B3" s="37" t="str">
        <x:v>Espaço Vitta Saúde</x:v>
      </x:c>
      <x:c r="C3" s="37" t="str">
        <x:v>Fisioterapia/Terapias</x:v>
      </x:c>
      <x:c r="D3" s="37" t="str">
        <x:v>Fisioterapia, pilates, saúde integrada</x:v>
      </x:c>
      <x:c r="E3" s="37" t="str">
        <x:v>Jardim da Penha</x:v>
      </x:c>
      <x:c r="F3" s="37" t="str">
        <x:v>&lt;=10 km</x:v>
      </x:c>
      <x:c r="G3" s="37" t="str">
        <x:v>Somente social</x:v>
      </x:c>
      <x:c r="H3" s="37" t="str">
        <x:v>Instagram @vittasaudee</x:v>
      </x:c>
      <x:c r="I3" s="37" t="str">
        <x:v>(27) 2142-1173</x:v>
      </x:c>
      <x:c r="J3" s="37" t="str">
        <x:v>ME ativa, presença pública dependente de Instagram/diretórios.</x:v>
      </x:c>
      <x:c r="K3" s="37" t="str">
        <x:v>High</x:v>
      </x:c>
      <x:c r="L3" s="37" t="str">
        <x:v>https://ajudes.org.br/project/espaco-vitta-saude/</x:v>
      </x:c>
      <x:c r="M3" s="37" t="str">
        <x:v>Confirmado em convênio Ajudes e cadastro CNPJ público.</x:v>
      </x:c>
      <x:c r="N3" s="38" t="str">
        <x:v>Abordar com landing page para serviços e agendamento.</x:v>
      </x:c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8" customHeight="1">
      <x:c r="A4" s="36" t="str">
        <x:v>Hot</x:v>
      </x:c>
      <x:c r="B4" s="37" t="str">
        <x:v>EssenceSaúde</x:v>
      </x:c>
      <x:c r="C4" s="37" t="str">
        <x:v>Fisioterapia/Terapias</x:v>
      </x:c>
      <x:c r="D4" s="37" t="str">
        <x:v>Terapias integrativas, fisioterapia</x:v>
      </x:c>
      <x:c r="E4" s="37" t="str">
        <x:v>Praia do Suá</x:v>
      </x:c>
      <x:c r="F4" s="37" t="str">
        <x:v>&lt;=10 km</x:v>
      </x:c>
      <x:c r="G4" s="37" t="str">
        <x:v>Google Sites + booking</x:v>
      </x:c>
      <x:c r="H4" s="37" t="str">
        <x:v>Google Sites + Setmore + Instagram</x:v>
      </x:c>
      <x:c r="I4" s="37" t="str">
        <x:v>(27) 99779-6437</x:v>
      </x:c>
      <x:c r="J4" s="37" t="str">
        <x:v>Tem site em Google Sites e agenda externa; oportunidade de melhorar presença própria.</x:v>
      </x:c>
      <x:c r="K4" s="37" t="str">
        <x:v>High</x:v>
      </x:c>
      <x:c r="L4" s="37" t="str">
        <x:v>https://sites.google.com/view/essencesade</x:v>
      </x:c>
      <x:c r="M4" s="37" t="str">
        <x:v>Fonte adicional: Setmore/SindjudES lista Instagram e WhatsApp.</x:v>
      </x:c>
      <x:c r="N4" s="38" t="str">
        <x:v>Oferecer redesign/landing page integrada ao WhatsApp e reservas.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8" customHeight="1">
      <x:c r="A5" s="36" t="str">
        <x:v>Hot</x:v>
      </x:c>
      <x:c r="B5" s="37" t="str">
        <x:v>Fisiohealth Clínica de Fisioterapia e Pilates</x:v>
      </x:c>
      <x:c r="C5" s="37" t="str">
        <x:v>Fisioterapia/Terapias</x:v>
      </x:c>
      <x:c r="D5" s="37" t="str">
        <x:v>Fisioterapia</x:v>
      </x:c>
      <x:c r="E5" s="37" t="str">
        <x:v>Jardim Camburi</x:v>
      </x:c>
      <x:c r="F5" s="37" t="str">
        <x:v>&lt;=10 km</x:v>
      </x:c>
      <x:c r="G5" s="37" t="str">
        <x:v>Somente social</x:v>
      </x:c>
      <x:c r="H5" s="37" t="str">
        <x:v>Instagram como site</x:v>
      </x:c>
      <x:c r="I5" s="37" t="str">
        <x:v>(27) 3014-9801</x:v>
      </x:c>
      <x:c r="J5" s="37" t="str">
        <x:v>Boa presença local, mas sem página própria.</x:v>
      </x:c>
      <x:c r="K5" s="37" t="str">
        <x:v>High</x:v>
      </x:c>
      <x:c r="L5" s="37" t="str">
        <x:v>https://seniorbemestar.com/clinicas-de-fisioterapia/vitoria/fisiohealth-clinica-de-fisioterapia-e-pilates/</x:v>
      </x:c>
      <x:c r="M5" s="37" t="str">
        <x:v>Também aparece em Cylex, BuscaFisio e Solutudo.</x:v>
      </x:c>
      <x:c r="N5" s="38" t="str">
        <x:v>Abordar com site simples para captação por bairro.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8" customHeight="1">
      <x:c r="A6" s="36" t="str">
        <x:v>Hot</x:v>
      </x:c>
      <x:c r="B6" s="37" t="str">
        <x:v>Fisio Ativa Clínica de Fisioterapia e Pilates</x:v>
      </x:c>
      <x:c r="C6" s="37" t="str">
        <x:v>Fisioterapia/Terapias</x:v>
      </x:c>
      <x:c r="D6" s="37" t="str">
        <x:v>Fisioterapia</x:v>
      </x:c>
      <x:c r="E6" s="37" t="str">
        <x:v>Praia do Canto</x:v>
      </x:c>
      <x:c r="F6" s="37" t="str">
        <x:v>&lt;=10 km</x:v>
      </x:c>
      <x:c r="G6" s="37" t="str">
        <x:v>Sem site encontrado</x:v>
      </x:c>
      <x:c r="H6" s="37" t="str">
        <x:v>Diretório local</x:v>
      </x:c>
      <x:c r="I6" s="37" t="str">
        <x:v>(27) 3315-5190</x:v>
      </x:c>
      <x:c r="J6" s="37" t="str">
        <x:v>Avaliações e telefone, mas sem domínio próprio encontrado.</x:v>
      </x:c>
      <x:c r="K6" s="37" t="str">
        <x:v>Medium</x:v>
      </x:c>
      <x:c r="L6" s="37" t="str">
        <x:v>https://br.physiofinder.net/pt-br/i/23000-fisio-ativa-clinica-de-fisioterapia-e-pilates/</x:v>
      </x:c>
      <x:c r="M6" s="37" t="str">
        <x:v>Busca exata não retornou domínio próprio confiável.</x:v>
      </x:c>
      <x:c r="N6" s="38" t="str">
        <x:v>Validar Instagram antes do contato e propor site de serviços.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8" customHeight="1">
      <x:c r="A7" s="36" t="str">
        <x:v>Hot</x:v>
      </x:c>
      <x:c r="B7" s="37" t="str">
        <x:v>Flexfisio Clínica de Fisioterapia e Pilates</x:v>
      </x:c>
      <x:c r="C7" s="37" t="str">
        <x:v>Fisioterapia/Terapias</x:v>
      </x:c>
      <x:c r="D7" s="37" t="str">
        <x:v>Fisioterapia</x:v>
      </x:c>
      <x:c r="E7" s="37" t="str">
        <x:v>Jardim Camburi</x:v>
      </x:c>
      <x:c r="F7" s="37" t="str">
        <x:v>&lt;=10 km</x:v>
      </x:c>
      <x:c r="G7" s="37" t="str">
        <x:v>Sem site encontrado</x:v>
      </x:c>
      <x:c r="H7" s="37" t="str">
        <x:v>Diretório Fisio.net</x:v>
      </x:c>
      <x:c r="I7" s="37" t="str">
        <x:v>(27) 9873-8348</x:v>
      </x:c>
      <x:c r="J7" s="37" t="str">
        <x:v>Pequena clínica sem site próprio visível.</x:v>
      </x:c>
      <x:c r="K7" s="37" t="str">
        <x:v>Medium</x:v>
      </x:c>
      <x:c r="L7" s="37" t="str">
        <x:v>https://fisio.net.br/sobre/flexfisio-vitoria-es-28420001</x:v>
      </x:c>
      <x:c r="M7" s="37" t="str">
        <x:v>Diretório marca empresa como não reivindicada.</x:v>
      </x:c>
      <x:c r="N7" s="38" t="str">
        <x:v>Abordar com proposta de página local e Google Business.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8" customHeight="1">
      <x:c r="A8" s="36" t="str">
        <x:v>Hot</x:v>
      </x:c>
      <x:c r="B8" s="37" t="str">
        <x:v>Espaço Fisio LTDA</x:v>
      </x:c>
      <x:c r="C8" s="37" t="str">
        <x:v>Fisioterapia/Terapias</x:v>
      </x:c>
      <x:c r="D8" s="37" t="str">
        <x:v>Fisioterapia e pilates</x:v>
      </x:c>
      <x:c r="E8" s="37" t="str">
        <x:v>Enseada do Suá</x:v>
      </x:c>
      <x:c r="F8" s="37" t="str">
        <x:v>&lt;=10 km</x:v>
      </x:c>
      <x:c r="G8" s="37" t="str">
        <x:v>Sem site encontrado</x:v>
      </x:c>
      <x:c r="H8" s="37" t="str">
        <x:v>Diretório local</x:v>
      </x:c>
      <x:c r="I8" s="37" t="str">
        <x:v>(27) 98153-8335</x:v>
      </x:c>
      <x:c r="J8" s="37" t="str">
        <x:v>Tem telefone e endereço, mas depende de listagem.</x:v>
      </x:c>
      <x:c r="K8" s="37" t="str">
        <x:v>Medium</x:v>
      </x:c>
      <x:c r="L8" s="37" t="str">
        <x:v>https://www.locaisdobrasil.com.br/encontre/clinica-de-fisioterapia/vitoria-es/clinica-de-fisioterapia-e-pilates-espaco-fisio-ltda/6507c72e831a9c92fa853c30</x:v>
      </x:c>
      <x:c r="M8" s="37" t="str">
        <x:v>Convênios listados em fonte pública.</x:v>
      </x:c>
      <x:c r="N8" s="38" t="str">
        <x:v>Oferecer site de credenciamentos, convênios e horários.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8" customHeight="1">
      <x:c r="A9" s="36" t="str">
        <x:v>Hot</x:v>
      </x:c>
      <x:c r="B9" s="37" t="str">
        <x:v>Viva Odontologia</x:v>
      </x:c>
      <x:c r="C9" s="37" t="str">
        <x:v>Odontologia</x:v>
      </x:c>
      <x:c r="D9" s="37" t="str">
        <x:v>Odontologia</x:v>
      </x:c>
      <x:c r="E9" s="37" t="str">
        <x:v>Santa Lúcia</x:v>
      </x:c>
      <x:c r="F9" s="37" t="str">
        <x:v>&lt;=10 km</x:v>
      </x:c>
      <x:c r="G9" s="37" t="str">
        <x:v>Somente social</x:v>
      </x:c>
      <x:c r="H9" s="37" t="str">
        <x:v>Instagram / sem site listado</x:v>
      </x:c>
      <x:c r="I9" s="37" t="str">
        <x:v>(27) 3026-1235</x:v>
      </x:c>
      <x:c r="J9" s="37" t="str">
        <x:v>Clínica odontológica ativa sem site próprio.</x:v>
      </x:c>
      <x:c r="K9" s="37" t="str">
        <x:v>High</x:v>
      </x:c>
      <x:c r="L9" s="37" t="str">
        <x:v>https://br.todosnegocios.com/pt/viva-odontologia_2H-27-3026-1235</x:v>
      </x:c>
      <x:c r="M9" s="37" t="str">
        <x:v>Fonte informa Instagram e ausência de site listado.</x:v>
      </x:c>
      <x:c r="N9" s="38" t="str">
        <x:v>Abordar com site focado em especialidades e agendamento.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8" customHeight="1">
      <x:c r="A10" s="36" t="str">
        <x:v>Hot</x:v>
      </x:c>
      <x:c r="B10" s="37" t="str">
        <x:v>COI Odontologia</x:v>
      </x:c>
      <x:c r="C10" s="37" t="str">
        <x:v>Odontologia</x:v>
      </x:c>
      <x:c r="D10" s="37" t="str">
        <x:v>Odontologia</x:v>
      </x:c>
      <x:c r="E10" s="37" t="str">
        <x:v>Praia do Suá</x:v>
      </x:c>
      <x:c r="F10" s="37" t="str">
        <x:v>&lt;=10 km</x:v>
      </x:c>
      <x:c r="G10" s="37" t="str">
        <x:v>Somente social</x:v>
      </x:c>
      <x:c r="H10" s="37" t="str">
        <x:v>Instagram @coiodontovix</x:v>
      </x:c>
      <x:c r="I10" s="37" t="str">
        <x:v>(27) 99610-5491</x:v>
      </x:c>
      <x:c r="J10" s="37" t="str">
        <x:v>Oferta completa e captação ainda dependente de social.</x:v>
      </x:c>
      <x:c r="K10" s="37" t="str">
        <x:v>High</x:v>
      </x:c>
      <x:c r="L10" s="37" t="str">
        <x:v>https://ajudes.org.br/project/coi-odontologia/</x:v>
      </x:c>
      <x:c r="M10" s="37" t="str">
        <x:v>Fonte Ajudes lista serviços, telefone e Instagram.</x:v>
      </x:c>
      <x:c r="N10" s="38" t="str">
        <x:v>Abordar com site para implantes, estética e tráfego local.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8" customHeight="1">
      <x:c r="A11" s="36" t="str">
        <x:v>Hot</x:v>
      </x:c>
      <x:c r="B11" s="37" t="str">
        <x:v>CIEO</x:v>
      </x:c>
      <x:c r="C11" s="37" t="str">
        <x:v>Odontologia</x:v>
      </x:c>
      <x:c r="D11" s="37" t="str">
        <x:v>Odontologia</x:v>
      </x:c>
      <x:c r="E11" s="37" t="str">
        <x:v>Vitória</x:v>
      </x:c>
      <x:c r="F11" s="37" t="str">
        <x:v>&lt;=10 km</x:v>
      </x:c>
      <x:c r="G11" s="37" t="str">
        <x:v>Somente Facebook</x:v>
      </x:c>
      <x:c r="H11" s="37" t="str">
        <x:v>Sem site listado</x:v>
      </x:c>
      <x:c r="I11" s="37" t="str">
        <x:v>(27) 3235-2509</x:v>
      </x:c>
      <x:c r="J11" s="37" t="str">
        <x:v>Tem telefone, avaliações e sem site próprio.</x:v>
      </x:c>
      <x:c r="K11" s="37" t="str">
        <x:v>High</x:v>
      </x:c>
      <x:c r="L11" s="37" t="str">
        <x:v>https://br.todosnegocios.com/pt/cieo-centro-integrado-de-especialidades_3V-27-3235-2509</x:v>
      </x:c>
      <x:c r="M11" s="37" t="str">
        <x:v>Fonte informa Facebook e ausência de site listado.</x:v>
      </x:c>
      <x:c r="N11" s="38" t="str">
        <x:v>Abordar com página institucional e prova social.</x:v>
      </x:c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8" customHeight="1">
      <x:c r="A12" s="36" t="str">
        <x:v>Hot</x:v>
      </x:c>
      <x:c r="B12" s="37" t="str">
        <x:v>Clínica Dentare</x:v>
      </x:c>
      <x:c r="C12" s="37" t="str">
        <x:v>Odontologia</x:v>
      </x:c>
      <x:c r="D12" s="37" t="str">
        <x:v>Odontologia</x:v>
      </x:c>
      <x:c r="E12" s="37" t="str">
        <x:v>Vitória</x:v>
      </x:c>
      <x:c r="F12" s="37" t="str">
        <x:v>&lt;=10 km</x:v>
      </x:c>
      <x:c r="G12" s="37" t="str">
        <x:v>Sem site encontrado</x:v>
      </x:c>
      <x:c r="H12" s="37" t="str">
        <x:v>Foursquare/diretório</x:v>
      </x:c>
      <x:c r="I12" s="37" t="str">
        <x:v>(27) 3325-9459</x:v>
      </x:c>
      <x:c r="J12" s="37" t="str">
        <x:v>Clínica com contato público, sem domínio próprio visível.</x:v>
      </x:c>
      <x:c r="K12" s="37" t="str">
        <x:v>Medium</x:v>
      </x:c>
      <x:c r="L12" s="37" t="str">
        <x:v>https://br.todosnegocios.com/pt/cl%C3%ADnica-dentare-27-3325-9459</x:v>
      </x:c>
      <x:c r="M12" s="37" t="str">
        <x:v>Busca exata não encontrou site próprio confiável.</x:v>
      </x:c>
      <x:c r="N12" s="38" t="str">
        <x:v>Validar atividade antes do contato e oferecer presença básica.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8" customHeight="1">
      <x:c r="A13" s="36" t="str">
        <x:v>Hot</x:v>
      </x:c>
      <x:c r="B13" s="37" t="str">
        <x:v>CEO Clínica de Especialidades Odontológicas</x:v>
      </x:c>
      <x:c r="C13" s="37" t="str">
        <x:v>Odontologia</x:v>
      </x:c>
      <x:c r="D13" s="37" t="str">
        <x:v>Odontologia</x:v>
      </x:c>
      <x:c r="E13" s="37" t="str">
        <x:v>Jardim da Penha</x:v>
      </x:c>
      <x:c r="F13" s="37" t="str">
        <x:v>&lt;=10 km</x:v>
      </x:c>
      <x:c r="G13" s="37" t="str">
        <x:v>Somente social/diretório</x:v>
      </x:c>
      <x:c r="H13" s="37" t="str">
        <x:v>Sem site listado</x:v>
      </x:c>
      <x:c r="I13" s="37" t="str">
        <x:v>(27) 3227-8122</x:v>
      </x:c>
      <x:c r="J13" s="37" t="str">
        <x:v>Clínica com telefone e ausência de site próprio.</x:v>
      </x:c>
      <x:c r="K13" s="37" t="str">
        <x:v>High</x:v>
      </x:c>
      <x:c r="L13" s="37" t="str">
        <x:v>https://br.todosnegocios.com/pt/ceo-cl%C3%ADnica-de-especialidades-27-3227-8122</x:v>
      </x:c>
      <x:c r="M13" s="37" t="str">
        <x:v>Fonte informa Facebook e ausência de site listado.</x:v>
      </x:c>
      <x:c r="N13" s="38" t="str">
        <x:v>Abordar com site de especialidades e canais de contato.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8" customHeight="1">
      <x:c r="A14" s="36" t="str">
        <x:v>Hot</x:v>
      </x:c>
      <x:c r="B14" s="37" t="str">
        <x:v>Max Túlio Clínica Odontológica</x:v>
      </x:c>
      <x:c r="C14" s="37" t="str">
        <x:v>Odontologia</x:v>
      </x:c>
      <x:c r="D14" s="37" t="str">
        <x:v>Odontologia</x:v>
      </x:c>
      <x:c r="E14" s="37" t="str">
        <x:v>Praia do Canto</x:v>
      </x:c>
      <x:c r="F14" s="37" t="str">
        <x:v>&lt;=10 km</x:v>
      </x:c>
      <x:c r="G14" s="37" t="str">
        <x:v>Somente Instagram</x:v>
      </x:c>
      <x:c r="H14" s="37" t="str">
        <x:v>Instagram listado como site</x:v>
      </x:c>
      <x:c r="I14" s="37" t="str">
        <x:v>(27) 3024-1561 / 99848-1178</x:v>
      </x:c>
      <x:c r="J14" s="37" t="str">
        <x:v>Boa especialização, mas sem site próprio.</x:v>
      </x:c>
      <x:c r="K14" s="37" t="str">
        <x:v>Medium</x:v>
      </x:c>
      <x:c r="L14" s="37" t="str">
        <x:v>https://painelwebservice.cfa.org.br/?a=show&amp;c=pesquisa&amp;id=1044</x:v>
      </x:c>
      <x:c r="M14" s="37" t="str">
        <x:v>Fonte lista Instagram como site e unidade em Vitória.</x:v>
      </x:c>
      <x:c r="N14" s="38" t="str">
        <x:v>Abordar com página de especialidades e diferenciais.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8" customHeight="1">
      <x:c r="A15" s="36" t="str">
        <x:v>Hot</x:v>
      </x:c>
      <x:c r="B15" s="37" t="str">
        <x:v>Dra. Andressa Rocha Odontologia</x:v>
      </x:c>
      <x:c r="C15" s="37" t="str">
        <x:v>Odontologia</x:v>
      </x:c>
      <x:c r="D15" s="37" t="str">
        <x:v>Odontologia estética</x:v>
      </x:c>
      <x:c r="E15" s="37" t="str">
        <x:v>Jardim da Penha</x:v>
      </x:c>
      <x:c r="F15" s="37" t="str">
        <x:v>&lt;=10 km</x:v>
      </x:c>
      <x:c r="G15" s="37" t="str">
        <x:v>Somente social</x:v>
      </x:c>
      <x:c r="H15" s="37" t="str">
        <x:v>Instagram/WhatsApp</x:v>
      </x:c>
      <x:c r="I15" s="37" t="str">
        <x:v>(27) 99979-8481</x:v>
      </x:c>
      <x:c r="J15" s="37" t="str">
        <x:v>Perfil comercial forte, sem site próprio encontrado.</x:v>
      </x:c>
      <x:c r="K15" s="37" t="str">
        <x:v>Medium</x:v>
      </x:c>
      <x:c r="L15" s="37" t="str">
        <x:v>https://eguias.net/empresa/dra-andressa-rocha-odontologia-implante-dentario-harmonizacao-facial-em-vitoria/vitoria/es/3548408</x:v>
      </x:c>
      <x:c r="M15" s="37" t="str">
        <x:v>Fonte lista Instagram e WhatsApp.</x:v>
      </x:c>
      <x:c r="N15" s="38" t="str">
        <x:v>Abordar com landing page de implantes e harmonização.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8" customHeight="1">
      <x:c r="A16" s="36" t="str">
        <x:v>Hot</x:v>
      </x:c>
      <x:c r="B16" s="37" t="str">
        <x:v>Dra. Karine Pimentel Ortodontia</x:v>
      </x:c>
      <x:c r="C16" s="37" t="str">
        <x:v>Odontologia</x:v>
      </x:c>
      <x:c r="D16" s="37" t="str">
        <x:v>Ortodontia</x:v>
      </x:c>
      <x:c r="E16" s="37" t="str">
        <x:v>Santa Lúcia</x:v>
      </x:c>
      <x:c r="F16" s="37" t="str">
        <x:v>&lt;=10 km</x:v>
      </x:c>
      <x:c r="G16" s="37" t="str">
        <x:v>Linktree/social only</x:v>
      </x:c>
      <x:c r="H16" s="37" t="str">
        <x:v>Linktree</x:v>
      </x:c>
      <x:c r="I16" s="37" t="str">
        <x:v>WhatsApp via Linktree</x:v>
      </x:c>
      <x:c r="J16" s="37" t="str">
        <x:v>Profissional com contato digital, sem domínio próprio.</x:v>
      </x:c>
      <x:c r="K16" s="37" t="str">
        <x:v>Medium</x:v>
      </x:c>
      <x:c r="L16" s="37" t="str">
        <x:v>https://linktr.ee/karinepimentelorto</x:v>
      </x:c>
      <x:c r="M16" s="37" t="str">
        <x:v>Linktree informa localização, Instagram e WhatsApp.</x:v>
      </x:c>
      <x:c r="N16" s="38" t="str">
        <x:v>Abordar com site one-page para autoridade em ortodontia.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8" customHeight="1">
      <x:c r="A17" s="36" t="str">
        <x:v>Hot</x:v>
      </x:c>
      <x:c r="B17" s="37" t="str">
        <x:v>Dra. Aline Bragança</x:v>
      </x:c>
      <x:c r="C17" s="37" t="str">
        <x:v>Odontologia</x:v>
      </x:c>
      <x:c r="D17" s="37" t="str">
        <x:v>Odontologia/Harmonização</x:v>
      </x:c>
      <x:c r="E17" s="37" t="str">
        <x:v>Vitória</x:v>
      </x:c>
      <x:c r="F17" s="37" t="str">
        <x:v>&lt;=10 km</x:v>
      </x:c>
      <x:c r="G17" s="37" t="str">
        <x:v>Linktree/social only</x:v>
      </x:c>
      <x:c r="H17" s="37" t="str">
        <x:v>Linktree</x:v>
      </x:c>
      <x:c r="I17" s="37" t="str">
        <x:v>WhatsApp via Linktree</x:v>
      </x:c>
      <x:c r="J17" s="37" t="str">
        <x:v>Depende de Linktree para conversão.</x:v>
      </x:c>
      <x:c r="K17" s="37" t="str">
        <x:v>Medium</x:v>
      </x:c>
      <x:c r="L17" s="37" t="str">
        <x:v>https://linktr.ee/dra.alinebraganca</x:v>
      </x:c>
      <x:c r="M17" s="37" t="str">
        <x:v>Linktree informa cirurgiã-dentista em Vitória.</x:v>
      </x:c>
      <x:c r="N17" s="38" t="str">
        <x:v>Abordar com página de procedimentos e formulário rápido.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8" customHeight="1">
      <x:c r="A18" s="36" t="str">
        <x:v>Warm</x:v>
      </x:c>
      <x:c r="B18" s="37" t="str">
        <x:v>COEH Clínica Odontológica do Hálito</x:v>
      </x:c>
      <x:c r="C18" s="37" t="str">
        <x:v>Odontologia</x:v>
      </x:c>
      <x:c r="D18" s="37" t="str">
        <x:v>Odontologia</x:v>
      </x:c>
      <x:c r="E18" s="37" t="str">
        <x:v>Santa Lúcia</x:v>
      </x:c>
      <x:c r="F18" s="37" t="str">
        <x:v>&lt;=10 km</x:v>
      </x:c>
      <x:c r="G18" s="37" t="str">
        <x:v>Somente Facebook</x:v>
      </x:c>
      <x:c r="H18" s="37" t="str">
        <x:v>Sem site listado</x:v>
      </x:c>
      <x:c r="I18" s="37" t="str">
        <x:v>Not found</x:v>
      </x:c>
      <x:c r="J18" s="37" t="str">
        <x:v>Sem telefone visível, mas há contato comercial por email/Facebook.</x:v>
      </x:c>
      <x:c r="K18" s="37" t="str">
        <x:v>Medium</x:v>
      </x:c>
      <x:c r="L18" s="37" t="str">
        <x:v>https://br.todosnegocios.com/pt/coeh-cl%C3%ADnica-odontol%C3%B3gica-do-h%C3%A1lito</x:v>
      </x:c>
      <x:c r="M18" s="37" t="str">
        <x:v>Contato incompleto; validar canal antes de priorizar.</x:v>
      </x:c>
      <x:c r="N18" s="38" t="str">
        <x:v>Pesquisar telefone antes do outreach.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8" customHeight="1">
      <x:c r="A19" s="36" t="str">
        <x:v>Warm</x:v>
      </x:c>
      <x:c r="B19" s="37" t="str">
        <x:v>Laboratório Deomar Bittencourt</x:v>
      </x:c>
      <x:c r="C19" s="37" t="str">
        <x:v>Laboratório</x:v>
      </x:c>
      <x:c r="D19" s="37" t="str">
        <x:v>Laboratório clínico</x:v>
      </x:c>
      <x:c r="E19" s="37" t="str">
        <x:v>Centro/Jardim Camburi</x:v>
      </x:c>
      <x:c r="F19" s="37" t="str">
        <x:v>&lt;=10 km</x:v>
      </x:c>
      <x:c r="G19" s="37" t="str">
        <x:v>Site antigo/histórico</x:v>
      </x:c>
      <x:c r="H19" s="37" t="str">
        <x:v>Sem site listado; domínio histórico</x:v>
      </x:c>
      <x:c r="I19" s="37" t="str">
        <x:v>(27) 3223-0582</x:v>
      </x:c>
      <x:c r="J19" s="37" t="str">
        <x:v>Parece ter lacuna de presença própria atual.</x:v>
      </x:c>
      <x:c r="K19" s="37" t="str">
        <x:v>Medium</x:v>
      </x:c>
      <x:c r="L19" s="37" t="str">
        <x:v>https://br.todosnegocios.com/pt/laborat%C3%B3rio-an%C3%A1lises-cl%C3%ADnicas-deomar-27-3223-0582</x:v>
      </x:c>
      <x:c r="M19" s="37" t="str">
        <x:v>Fonte menciona domínio histórico deomarbittencourt.com.br.</x:v>
      </x:c>
      <x:c r="N19" s="38" t="str">
        <x:v>Validar operação atual e propor atualização de presença.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8" customHeight="1">
      <x:c r="A20" s="36" t="str">
        <x:v>Hot</x:v>
      </x:c>
      <x:c r="B20" s="37" t="str">
        <x:v>LAPACI</x:v>
      </x:c>
      <x:c r="C20" s="37" t="str">
        <x:v>Laboratório</x:v>
      </x:c>
      <x:c r="D20" s="37" t="str">
        <x:v>Anatomia patológica/citologia</x:v>
      </x:c>
      <x:c r="E20" s="37" t="str">
        <x:v>Praia do Suá</x:v>
      </x:c>
      <x:c r="F20" s="37" t="str">
        <x:v>&lt;=10 km</x:v>
      </x:c>
      <x:c r="G20" s="37" t="str">
        <x:v>Sem site encontrado</x:v>
      </x:c>
      <x:c r="H20" s="37" t="str">
        <x:v>Diretório Cylex</x:v>
      </x:c>
      <x:c r="I20" s="37" t="str">
        <x:v>(27) 3325-4248</x:v>
      </x:c>
      <x:c r="J20" s="37" t="str">
        <x:v>Laboratório pequeno com telefone e sem site visível.</x:v>
      </x:c>
      <x:c r="K20" s="37" t="str">
        <x:v>Medium</x:v>
      </x:c>
      <x:c r="L20" s="37" t="str">
        <x:v>https://www.cylex.com.br/vitoria/lapaci-laborat%C3%B3rio-de-anatomia-patol%C3%B3gica-e-citologia-ltda-11337545.html</x:v>
      </x:c>
      <x:c r="M20" s="37" t="str">
        <x:v>Fonte pública lista telefone, endereço e horário.</x:v>
      </x:c>
      <x:c r="N20" s="38" t="str">
        <x:v>Abordar com site técnico para médicos e pacientes.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8" customHeight="1">
      <x:c r="A21" s="39" t="str">
        <x:v>Warm</x:v>
      </x:c>
      <x:c r="B21" s="40" t="str">
        <x:v>Laboratório Biolab</x:v>
      </x:c>
      <x:c r="C21" s="40" t="str">
        <x:v>Laboratório</x:v>
      </x:c>
      <x:c r="D21" s="40" t="str">
        <x:v>Laboratório clínico</x:v>
      </x:c>
      <x:c r="E21" s="40" t="str">
        <x:v>Parque Moscoso</x:v>
      </x:c>
      <x:c r="F21" s="40" t="str">
        <x:v>&lt;=10 km</x:v>
      </x:c>
      <x:c r="G21" s="40" t="str">
        <x:v>Sem site encontrado</x:v>
      </x:c>
      <x:c r="H21" s="40" t="str">
        <x:v>Diretório local</x:v>
      </x:c>
      <x:c r="I21" s="40" t="str">
        <x:v>(27) 3223-5755</x:v>
      </x:c>
      <x:c r="J21" s="40" t="str">
        <x:v>Listagem básica, sem canal próprio claro.</x:v>
      </x:c>
      <x:c r="K21" s="40" t="str">
        <x:v>Medium</x:v>
      </x:c>
      <x:c r="L21" s="40" t="str">
        <x:v>https://www.encontraes.com.br/local/laboratorio-biolab-439311</x:v>
      </x:c>
      <x:c r="M21" s="40" t="str">
        <x:v>Empresa maior/filial: validar se já usa marca corporativa.</x:v>
      </x:c>
      <x:c r="N21" s="41" t="str">
        <x:v>Validar autonomia local antes de ofertar site próprio.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conditionalFormatting sqref="A2:A21">
    <x:cfRule type="containsText" dxfId="0" priority="1" operator="containsText" text="Hot"/>
    <x:cfRule type="containsText" dxfId="1" priority="2" operator="containsText" text="Warm"/>
  </x:conditionalFormatting>
  <x:conditionalFormatting sqref="K2:K21">
    <x:cfRule type="containsText" dxfId="2" priority="3" operator="containsText" text="High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41.11000061035156" hidden="0" customWidth="1"/>
    <x:col min="3" max="3" width="2.6700000762939453" hidden="0" customWidth="1"/>
    <x:col min="4" max="4" width="21.110000610351562" hidden="0" customWidth="1"/>
    <x:col min="5" max="5" width="10" hidden="0" customWidth="1"/>
  </x:cols>
  <x:sheetData>
    <x:row r="1" ht="31.5" customHeight="1">
      <x:c r="A1" s="49" t="str">
        <x:v>Leads de saúde com presença digital fraca - Vitória/ES</x:v>
      </x:c>
      <x:c r="B1" s="50" t="str">
        <x:v>Leads de saúde com presença digital fraca - Vitória/ES</x:v>
      </x:c>
      <x:c r="C1" s="50" t="str">
        <x:v>Leads de saúde com presença digital fraca - Vitória/ES</x:v>
      </x:c>
      <x:c r="D1" s="50" t="str">
        <x:v>Leads de saúde com presença digital fraca - Vitória/ES</x:v>
      </x:c>
      <x:c r="E1" s="50" t="str">
        <x:v>Leads de saúde com presença digital fraca - Vitória/ES</x:v>
      </x:c>
      <x:c r="F1" s="50" t="str">
        <x:v>Leads de saúde com presença digital fraca - Vitória/ES</x:v>
      </x:c>
      <x:c r="G1" s="50" t="str">
        <x:v>Leads de saúde com presença digital fraca - Vitória/ES</x:v>
      </x:c>
      <x:c r="H1" s="51" t="str">
        <x:v>Leads de saúde com presença digital fraca - Vitória/ES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5" t="str">
        <x:v>Localização</x:v>
      </x:c>
      <x:c r="B3" s="35" t="str">
        <x:v>Vitória, Espírito Santo</x:v>
      </x:c>
      <x:c r="C3" s="1"/>
      <x:c r="D3" s="66" t="str">
        <x:v>Métrica</x:v>
      </x:c>
      <x:c r="E3" s="67" t="str">
        <x:v>Valor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6" t="str">
        <x:v>Raio</x:v>
      </x:c>
      <x:c r="B4" s="38" t="str">
        <x:v>10 km</x:v>
      </x:c>
      <x:c r="C4" s="1"/>
      <x:c r="D4" s="60" t="str">
        <x:v>Hot</x:v>
      </x:c>
      <x:c r="E4" s="61" t="n">
        <x:f>COUNTIF(Leads!A:A,"Hot")</x:f>
        <x:v>17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6" t="str">
        <x:v>Categorias</x:v>
      </x:c>
      <x:c r="B5" s="38" t="str">
        <x:v>Fisioterapeutas, dentistas, pequenos laboratórios e saúde local</x:v>
      </x:c>
      <x:c r="C5" s="1"/>
      <x:c r="D5" s="60" t="str">
        <x:v>Warm</x:v>
      </x:c>
      <x:c r="E5" s="61" t="n">
        <x:f>COUNTIF(Leads!A:A,"Warm")</x:f>
        <x:v>3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6" t="str">
        <x:v>Objetivo</x:v>
      </x:c>
      <x:c r="B6" s="38" t="str">
        <x:v>Leads sem site próprio forte ou dependentes de social/booking</x:v>
      </x:c>
      <x:c r="C6" s="1"/>
      <x:c r="D6" s="60" t="str">
        <x:v>High confidence</x:v>
      </x:c>
      <x:c r="E6" s="61" t="n">
        <x:f>COUNTIF(Leads!K:K,"High")</x:f>
        <x:v>8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6" t="str">
        <x:v>Data da pesquisa</x:v>
      </x:c>
      <x:c r="B7" s="38" t="str">
        <x:v>2026-06-05</x:v>
      </x:c>
      <x:c r="C7" s="1"/>
      <x:c r="D7" s="62" t="str">
        <x:v>Medium confidence</x:v>
      </x:c>
      <x:c r="E7" s="63" t="n">
        <x:f>COUNTIF(Leads!K:K,"Medium")</x:f>
        <x:v>12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7" t="str">
        <x:v>Total de leads</x:v>
      </x:c>
      <x:c r="B8" s="41" t="n">
        <x:f>COUNTA(Leads!B2:B1000)</x:f>
        <x:v>20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0" t="str">
        <x:v>Leads por score</x:v>
      </x:c>
      <x:c r="B11" s="71" t="str">
        <x:v>Qtd.</x:v>
      </x:c>
      <x:c r="C11" s="1"/>
      <x:c r="D11" s="70" t="str">
        <x:v>Leads por segmento</x:v>
      </x:c>
      <x:c r="E11" s="71" t="str">
        <x:v>Qtd.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9" t="str">
        <x:v>Hot</x:v>
      </x:c>
      <x:c r="B12" s="20" t="n">
        <x:f>COUNTIF(Leads!A:A,A12)</x:f>
        <x:v>17</x:v>
      </x:c>
      <x:c r="C12" s="1"/>
      <x:c r="D12" s="19" t="str">
        <x:v>Fisioterapia/Terapias</x:v>
      </x:c>
      <x:c r="E12" s="20" t="n">
        <x:f>COUNTIF(Leads!C:C,D12)</x:f>
        <x:v>7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 t="str">
        <x:v>Warm</x:v>
      </x:c>
      <x:c r="B13" s="20" t="n">
        <x:f>COUNTIF(Leads!A:A,A13)</x:f>
        <x:v>3</x:v>
      </x:c>
      <x:c r="C13" s="1"/>
      <x:c r="D13" s="19" t="str">
        <x:v>Odontologia</x:v>
      </x:c>
      <x:c r="E13" s="20" t="n">
        <x:f>COUNTIF(Leads!C:C,D13)</x:f>
        <x:v>10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1" t="str">
        <x:v>Total</x:v>
      </x:c>
      <x:c r="B14" s="23" t="n">
        <x:f>SUM(B12:B13)</x:f>
        <x:v>20</x:v>
      </x:c>
      <x:c r="C14" s="1"/>
      <x:c r="D14" s="19" t="str">
        <x:v>Laboratório</x:v>
      </x:c>
      <x:c r="E14" s="20" t="n">
        <x:f>COUNTIF(Leads!C:C,D14)</x:f>
        <x:v>3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21" t="str">
        <x:v>Total</x:v>
      </x:c>
      <x:c r="E15" s="23" t="n">
        <x:f>SUM(E12:E14)</x:f>
        <x:v>20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5" t="str">
        <x:v>Melhores primeiros alvos</x:v>
      </x:c>
      <x:c r="B18" s="76" t="str">
        <x:v>Segmento</x:v>
      </x:c>
      <x:c r="C18" s="77" t="str">
        <x:v>Motivo prático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6" t="str">
        <x:v>Clínica Equilíbrio Fisioterapia</x:v>
      </x:c>
      <x:c r="B19" s="37" t="str">
        <x:v>Fisioterapia/Terapias</x:v>
      </x:c>
      <x:c r="C19" s="38" t="str">
        <x:v>Alta confiança, telefone direto e sem site listado.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6" t="str">
        <x:v>Fisiohealth Clínica de Fisioterapia e Pilates</x:v>
      </x:c>
      <x:c r="B20" s="37" t="str">
        <x:v>Fisioterapia/Terapias</x:v>
      </x:c>
      <x:c r="C20" s="38" t="str">
        <x:v>Instagram aparece como site; bom argumento para domínio próprio.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9" t="str">
        <x:v>Max Túlio Clínica Odontológica</x:v>
      </x:c>
      <x:c r="B21" s="40" t="str">
        <x:v>Odontologia</x:v>
      </x:c>
      <x:c r="C21" s="41" t="str">
        <x:v>Clínica especializada com contatos e presença dependente de Instagram.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.889999389648438" hidden="0" customWidth="1"/>
    <x:col min="3" max="3" width="20" hidden="0" customWidth="1"/>
    <x:col min="4" max="4" width="47.779998779296875" hidden="0" customWidth="1"/>
  </x:cols>
  <x:sheetData>
    <x:row r="1" ht="31.5" customHeight="1">
      <x:c r="A1" s="49" t="str">
        <x:v>Top 3 primeiros contatos</x:v>
      </x:c>
      <x:c r="B1" s="50" t="str">
        <x:v>Top 3 primeiros contatos</x:v>
      </x:c>
      <x:c r="C1" s="50" t="str">
        <x:v>Top 3 primeiros contatos</x:v>
      </x:c>
      <x:c r="D1" s="51" t="str">
        <x:v>Top 3 primeiros contatos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5" t="str">
        <x:v>Prioridade</x:v>
      </x:c>
      <x:c r="B3" s="76" t="str">
        <x:v>Negócio</x:v>
      </x:c>
      <x:c r="C3" s="76" t="str">
        <x:v>Telefone</x:v>
      </x:c>
      <x:c r="D3" s="77" t="str">
        <x:v>Abordagem sugerida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3.5" customHeight="1">
      <x:c r="A4" s="36" t="n">
        <x:v>1</x:v>
      </x:c>
      <x:c r="B4" s="37" t="str">
        <x:v>Clínica Equilíbrio Fisioterapia</x:v>
      </x:c>
      <x:c r="C4" s="37" t="str">
        <x:v>(27) 3235-1857</x:v>
      </x:c>
      <x:c r="D4" s="38" t="str">
        <x:v>Site institucional enxuto com CTA para WhatsApp e serviços de fisioterapia.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3.5" customHeight="1">
      <x:c r="A5" s="36" t="n">
        <x:v>2</x:v>
      </x:c>
      <x:c r="B5" s="37" t="str">
        <x:v>Fisiohealth Clínica de Fisioterapia e Pilates</x:v>
      </x:c>
      <x:c r="C5" s="37" t="str">
        <x:v>(27) 3014-9801</x:v>
      </x:c>
      <x:c r="D5" s="38" t="str">
        <x:v>Landing page local com serviços, convênios, avaliações e agendamento.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3.5" customHeight="1">
      <x:c r="A6" s="39" t="n">
        <x:v>3</x:v>
      </x:c>
      <x:c r="B6" s="40" t="str">
        <x:v>Max Túlio Clínica Odontológica</x:v>
      </x:c>
      <x:c r="C6" s="40" t="str">
        <x:v>(27) 3024-1561 / 99848-1178</x:v>
      </x:c>
      <x:c r="D6" s="41" t="str">
        <x:v>Página de especialidades odontológicas com prova social e botão de contato.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D1"/>
  </x:mergeCells>
  <x:pageMargins left="0.7" right="0.7" top="0.75" bottom="0.75" header="0.3" footer="0.3"/>
</x:worksheet>
</file>