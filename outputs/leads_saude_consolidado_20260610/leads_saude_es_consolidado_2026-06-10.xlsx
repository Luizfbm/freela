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6cd4b701e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6011df7bdf09478a"/>
    <x:sheet xmlns:r="http://schemas.openxmlformats.org/officeDocument/2006/relationships" name="Resumo" sheetId="2" r:id="Rb28fc192c9d8437a"/>
    <x:sheet xmlns:r="http://schemas.openxmlformats.org/officeDocument/2006/relationships" name="Primeiros contatos" sheetId="3" r:id="R5b82c8f870fd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11827"/>
      <x:name val="Arial"/>
    </x:font>
    <x:font>
      <x:b/>
      <x:sz val="10"/>
      <x:color rgb="FF111827"/>
      <x:name val="Arial"/>
    </x:font>
    <x:font>
      <x:b/>
      <x:sz val="15"/>
      <x:color rgb="FF1118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F9FAFB"/>
      </x:patternFill>
    </x:fill>
  </x:fills>
  <x:borders count="12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left"/>
    </x:xf>
    <x:xf numFmtId="0" fontId="1" fillId="0" borderId="6" xfId="0" applyNumberFormat="1" applyFont="1" applyFill="1" applyBorder="1" applyAlignment="1">
      <x:alignment horizontal="left"/>
    </x:xf>
    <x:xf numFmtId="0" fontId="1" fillId="0" borderId="7" xfId="0" applyNumberFormat="1" applyFont="1" applyFill="1" applyBorder="1" applyAlignment="1">
      <x:alignment horizontal="left"/>
    </x:xf>
    <x:xf numFmtId="0" fontId="1" fillId="0" borderId="8" xfId="0" applyNumberFormat="1" applyFont="1" applyFill="1" applyBorder="1" applyAlignment="1">
      <x:alignment horizontal="left"/>
    </x:xf>
    <x:xf numFmtId="0" fontId="1" fillId="0" borderId="9" xfId="0" applyNumberFormat="1" applyFont="1" applyFill="1" applyBorder="1" applyAlignment="1">
      <x:alignment horizontal="left"/>
    </x:xf>
    <x:xf numFmtId="0" fontId="1" fillId="0" borderId="11" xfId="0" applyNumberFormat="1" applyFont="1" applyFill="1" applyBorder="1" applyAlignment="1">
      <x:alignment horizontal="left"/>
    </x:xf>
    <x:xf numFmtId="0" fontId="1" fillId="2" borderId="4" xfId="0" applyNumberFormat="1" applyFont="1" applyFill="1" applyBorder="1" applyAlignment="1">
      <x:alignment horizontal="left"/>
    </x:xf>
    <x:xf numFmtId="0" fontId="1" fillId="2" borderId="6" xfId="0" applyNumberFormat="1" applyFont="1" applyFill="1" applyBorder="1" applyAlignment="1">
      <x:alignment horizontal="left"/>
    </x:xf>
    <x:xf numFmtId="0" fontId="2" fillId="2" borderId="4" xfId="0" applyNumberFormat="1" applyFont="1" applyFill="1" applyBorder="1" applyAlignment="1">
      <x:alignment horizontal="left"/>
    </x:xf>
    <x:xf numFmtId="0" fontId="2" fillId="2" borderId="6" xfId="0" applyNumberFormat="1" applyFont="1" applyFill="1" applyBorder="1" applyAlignment="1">
      <x:alignment horizontal="left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3c311ee54467a" /><Relationship Type="http://schemas.openxmlformats.org/officeDocument/2006/relationships/theme" Target="/xl/theme/theme1.xml" Id="R77e42e4bc4594720" /><Relationship Type="http://schemas.openxmlformats.org/officeDocument/2006/relationships/sharedStrings" Target="/xl/sharedStrings.xml" Id="Rb7932f64ef674e39" /><Relationship Type="http://schemas.openxmlformats.org/officeDocument/2006/relationships/worksheet" Target="/xl/worksheets/sheet1.xml" Id="R6011df7bdf09478a" /><Relationship Type="http://schemas.openxmlformats.org/officeDocument/2006/relationships/worksheet" Target="/xl/worksheets/sheet2.xml" Id="Rb28fc192c9d8437a" /><Relationship Type="http://schemas.openxmlformats.org/officeDocument/2006/relationships/worksheet" Target="/xl/worksheets/sheet3.xml" Id="R5b82c8f870fd4f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7.78000020980835" hidden="0" customWidth="1"/>
    <x:col min="3" max="3" width="26.670000076293945" hidden="0" customWidth="1"/>
    <x:col min="4" max="4" width="15.5600004196167" hidden="0" customWidth="1"/>
    <x:col min="5" max="5" width="23.329999923706055" hidden="0" customWidth="1"/>
    <x:col min="6" max="6" width="16.670000076293945" hidden="0" customWidth="1"/>
    <x:col min="7" max="7" width="10" hidden="0" customWidth="1"/>
    <x:col min="8" max="8" width="17.219999313354492" hidden="0" customWidth="1"/>
    <x:col min="9" max="9" width="26.670000076293945" hidden="0" customWidth="1"/>
    <x:col min="10" max="10" width="18.889999389648438" hidden="0" customWidth="1"/>
    <x:col min="11" max="11" width="42.220001220703125" hidden="0" customWidth="1"/>
    <x:col min="12" max="12" width="31.110000610351562" hidden="0" customWidth="1"/>
    <x:col min="13" max="13" width="10.5600004196167" hidden="0" customWidth="1"/>
    <x:col min="14" max="14" width="33.33000183105469" hidden="0" customWidth="1"/>
    <x:col min="15" max="15" width="31.110000610351562" hidden="0" customWidth="1"/>
  </x:cols>
  <x:sheetData>
    <x:row r="1" ht="27" customHeight="1">
      <x:c r="A1" s="13" t="str">
        <x:v>origem</x:v>
      </x:c>
      <x:c r="B1" s="14" t="str">
        <x:v>score</x:v>
      </x:c>
      <x:c r="C1" s="14" t="str">
        <x:v>business</x:v>
      </x:c>
      <x:c r="D1" s="14" t="str">
        <x:v>segment</x:v>
      </x:c>
      <x:c r="E1" s="14" t="str">
        <x:v>category</x:v>
      </x:c>
      <x:c r="F1" s="14" t="str">
        <x:v>area</x:v>
      </x:c>
      <x:c r="G1" s="14" t="str">
        <x:v>distance</x:v>
      </x:c>
      <x:c r="H1" s="14" t="str">
        <x:v>website_status</x:v>
      </x:c>
      <x:c r="I1" s="14" t="str">
        <x:v>website_or_social</x:v>
      </x:c>
      <x:c r="J1" s="14" t="str">
        <x:v>phone</x:v>
      </x:c>
      <x:c r="K1" s="14" t="str">
        <x:v>source_urls</x:v>
      </x:c>
      <x:c r="L1" s="14" t="str">
        <x:v>why_prospect</x:v>
      </x:c>
      <x:c r="M1" s="14" t="str">
        <x:v>confidence</x:v>
      </x:c>
      <x:c r="N1" s="14" t="str">
        <x:v>notes</x:v>
      </x:c>
      <x:c r="O1" s="15" t="str">
        <x:v>next_action</x:v>
      </x:c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49.5" customHeight="1">
      <x:c r="A2" s="33" t="str">
        <x:v>Vila Velha/ES</x:v>
      </x:c>
      <x:c r="B2" s="34" t="str">
        <x:v>Hot</x:v>
      </x:c>
      <x:c r="C2" s="34" t="str">
        <x:v>VilaFisio Fisioterapia</x:v>
      </x:c>
      <x:c r="D2" s="34" t="str">
        <x:v>Pilates</x:v>
      </x:c>
      <x:c r="E2" s="34" t="str">
        <x:v>Fisioterapia e Pilates</x:v>
      </x:c>
      <x:c r="F2" s="34" t="str">
        <x:v>Itapua</x:v>
      </x:c>
      <x:c r="G2" s="34" t="str">
        <x:v>4.5 km</x:v>
      </x:c>
      <x:c r="H2" s="34" t="str">
        <x:v>Social only</x:v>
      </x:c>
      <x:c r="I2" s="34" t="str">
        <x:v>https://www.instagram.com/vilafisio_24/</x:v>
      </x:c>
      <x:c r="J2" s="34" t="str">
        <x:v>+55 27 99205-8920</x:v>
      </x:c>
      <x:c r="K2" s="34" t="str">
        <x:v>https://localtreino.com/fisioterapeutas-esportivos/vila-velha/; https://www.instagram.com/vilafisio_24/</x:v>
      </x:c>
      <x:c r="L2" s="34" t="str">
        <x:v>Instagram listado como principal presenca digital; telefone direto.</x:v>
      </x:c>
      <x:c r="M2" s="34" t="str">
        <x:v>High</x:v>
      </x:c>
      <x:c r="N2" s="34" t="str">
        <x:v>Busca exata por nome + Vila Velha nao retornou dominio proprio confiavel.</x:v>
      </x:c>
      <x:c r="O2" s="35" t="str">
        <x:v>Validar dados finais e enviar demo personalizada.</x:v>
      </x:c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49.5" customHeight="1">
      <x:c r="A3" s="36" t="str">
        <x:v>Vila Velha/ES</x:v>
      </x:c>
      <x:c r="B3" s="37" t="str">
        <x:v>Hot</x:v>
      </x:c>
      <x:c r="C3" s="37" t="str">
        <x:v>Clinica Viva Sem Dor</x:v>
      </x:c>
      <x:c r="D3" s="37" t="str">
        <x:v>Fisioterapia</x:v>
      </x:c>
      <x:c r="E3" s="37" t="str">
        <x:v>Fisioterapia</x:v>
      </x:c>
      <x:c r="F3" s="37" t="str">
        <x:v>Centro / Prainha</x:v>
      </x:c>
      <x:c r="G3" s="37" t="str">
        <x:v>1.5 km</x:v>
      </x:c>
      <x:c r="H3" s="37" t="str">
        <x:v>Social only</x:v>
      </x:c>
      <x:c r="I3" s="37" t="str">
        <x:v>https://www.instagram.com/clinicavivasemdor/</x:v>
      </x:c>
      <x:c r="J3" s="37" t="str">
        <x:v>+55 27 99810-5020</x:v>
      </x:c>
      <x:c r="K3" s="37" t="str">
        <x:v>https://www.instagram.com/clinicavivasemdor/; https://www.instagram.com/reel/DGmCCt2PMgY/</x:v>
      </x:c>
      <x:c r="L3" s="37" t="str">
        <x:v>Clinca ativa com WhatsApp visivel e sem site proprio encontrado.</x:v>
      </x:c>
      <x:c r="M3" s="37" t="str">
        <x:v>High</x:v>
      </x:c>
      <x:c r="N3" s="37" t="str">
        <x:v>Post publico informa endereco em Vila Velha e WhatsApp.</x:v>
      </x:c>
      <x:c r="O3" s="38" t="str">
        <x:v>Validar dados finais e enviar demo personalizada.</x:v>
      </x:c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49.5" customHeight="1">
      <x:c r="A4" s="36" t="str">
        <x:v>Vila Velha/ES</x:v>
      </x:c>
      <x:c r="B4" s="37" t="str">
        <x:v>Hot</x:v>
      </x:c>
      <x:c r="C4" s="37" t="str">
        <x:v>CLIFIT</x:v>
      </x:c>
      <x:c r="D4" s="37" t="str">
        <x:v>Fisioterapia</x:v>
      </x:c>
      <x:c r="E4" s="37" t="str">
        <x:v>Fisioterapia e Terapia Ocupacional</x:v>
      </x:c>
      <x:c r="F4" s="37" t="str">
        <x:v>Centro / Praia da Costa</x:v>
      </x:c>
      <x:c r="G4" s="37" t="str">
        <x:v>1.5 km</x:v>
      </x:c>
      <x:c r="H4" s="37" t="str">
        <x:v>Social only</x:v>
      </x:c>
      <x:c r="I4" s="37" t="str">
        <x:v>https://www.instagram.com/clifitvv/</x:v>
      </x:c>
      <x:c r="J4" s="37" t="str">
        <x:v>+55 27 98827-3408</x:v>
      </x:c>
      <x:c r="K4" s="37" t="str">
        <x:v>https://www.instagram.com/clifitvv/; https://www.unimed.coop.br/site/web/vitoria/credenciamento-descredenciamento-extensao-de-prestador-unimed-vitoria/-/asset_publisher/eW4DRtThFmYW/content/extens%C3%A3o-de-servi%C3%A7o-fisioterapia-p%C3%A9lvica-prestador-600004-clifit-cl%C3%ADnica-de-fisioterapia-ltda</x:v>
      </x:c>
      <x:c r="L4" s="37" t="str">
        <x:v>Atendimento tradicional, mas presenca propria nao apareceu na busca.</x:v>
      </x:c>
      <x:c r="M4" s="37" t="str">
        <x:v>High</x:v>
      </x:c>
      <x:c r="N4" s="37" t="str">
        <x:v>Instagram e fonte Unimed confirmam operacao/contato em Vila Velha.</x:v>
      </x:c>
      <x:c r="O4" s="38" t="str">
        <x:v>Validar dados finais e enviar demo personalizada.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9.5" customHeight="1">
      <x:c r="A5" s="36" t="str">
        <x:v>Vila Velha/ES</x:v>
      </x:c>
      <x:c r="B5" s="37" t="str">
        <x:v>Hot</x:v>
      </x:c>
      <x:c r="C5" s="37" t="str">
        <x:v>Betafisio</x:v>
      </x:c>
      <x:c r="D5" s="37" t="str">
        <x:v>Pilates</x:v>
      </x:c>
      <x:c r="E5" s="37" t="str">
        <x:v>Fisioterapia e Pilates</x:v>
      </x:c>
      <x:c r="F5" s="37" t="str">
        <x:v>Paul</x:v>
      </x:c>
      <x:c r="G5" s="37" t="str">
        <x:v>4 km</x:v>
      </x:c>
      <x:c r="H5" s="37" t="str">
        <x:v>Social only</x:v>
      </x:c>
      <x:c r="I5" s="37" t="str">
        <x:v>https://www.instagram.com/betafisio.es/</x:v>
      </x:c>
      <x:c r="J5" s="37" t="str">
        <x:v>+55 27 99741-7152; +55 27 3063-6012</x:v>
      </x:c>
      <x:c r="K5" s="37" t="str">
        <x:v>https://www.instagram.com/betafisio.es/; https://localtreino.com/fisioterapeutas-esportivos/vila-velha/</x:v>
      </x:c>
      <x:c r="L5" s="37" t="str">
        <x:v>Telefone e WhatsApp publicos; sem dominio proprio encontrado.</x:v>
      </x:c>
      <x:c r="M5" s="37" t="str">
        <x:v>High</x:v>
      </x:c>
      <x:c r="N5" s="37" t="str">
        <x:v>Busca exata por Betafisio + Vila Velha retornou Instagram/diretorios.</x:v>
      </x:c>
      <x:c r="O5" s="38" t="str">
        <x:v>Validar dados finais e enviar demo personalizada.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9.5" customHeight="1">
      <x:c r="A6" s="36" t="str">
        <x:v>Vila Velha/ES</x:v>
      </x:c>
      <x:c r="B6" s="37" t="str">
        <x:v>Hot</x:v>
      </x:c>
      <x:c r="C6" s="37" t="str">
        <x:v>Clinica Restaurar Fisioterapia e Pilates</x:v>
      </x:c>
      <x:c r="D6" s="37" t="str">
        <x:v>Pilates</x:v>
      </x:c>
      <x:c r="E6" s="37" t="str">
        <x:v>Fisioterapia e Pilates</x:v>
      </x:c>
      <x:c r="F6" s="37" t="str">
        <x:v>Terra Vermelha</x:v>
      </x:c>
      <x:c r="G6" s="37" t="str">
        <x:v>12.5 km</x:v>
      </x:c>
      <x:c r="H6" s="37" t="str">
        <x:v>Social only</x:v>
      </x:c>
      <x:c r="I6" s="37" t="str">
        <x:v>https://bio.site/clinicarestaurar; https://www.instagram.com/clinicarestaurar_/</x:v>
      </x:c>
      <x:c r="J6" s="37" t="str">
        <x:v>+55 27 98113-2733</x:v>
      </x:c>
      <x:c r="K6" s="37" t="str">
        <x:v>https://localtreino.com/fisioterapeutas-esportivos/vila-velha/; https://www.instagram.com/clinicarestaurar_/</x:v>
      </x:c>
      <x:c r="L6" s="37" t="str">
        <x:v>Usa bio link, nao site proprio; boa abertura para landing page.</x:v>
      </x:c>
      <x:c r="M6" s="37" t="str">
        <x:v>High</x:v>
      </x:c>
      <x:c r="N6" s="37" t="str">
        <x:v>Dentro do raio estimado de 15 km a partir de Vila Velha.</x:v>
      </x:c>
      <x:c r="O6" s="38" t="str">
        <x:v>Validar dados finais e enviar demo personalizada.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9.5" customHeight="1">
      <x:c r="A7" s="36" t="str">
        <x:v>Vila Velha/ES</x:v>
      </x:c>
      <x:c r="B7" s="37" t="str">
        <x:v>Hot</x:v>
      </x:c>
      <x:c r="C7" s="37" t="str">
        <x:v>SR Pilates e Fisioterapia</x:v>
      </x:c>
      <x:c r="D7" s="37" t="str">
        <x:v>Pilates</x:v>
      </x:c>
      <x:c r="E7" s="37" t="str">
        <x:v>Fisioterapia e Pilates</x:v>
      </x:c>
      <x:c r="F7" s="37" t="str">
        <x:v>Cidade da Barra / Riviera da Barra</x:v>
      </x:c>
      <x:c r="G7" s="37" t="str">
        <x:v>12 km</x:v>
      </x:c>
      <x:c r="H7" s="37" t="str">
        <x:v>Social only</x:v>
      </x:c>
      <x:c r="I7" s="37" t="str">
        <x:v>https://www.instagram.com/sergiofisio21/</x:v>
      </x:c>
      <x:c r="J7" s="37" t="str">
        <x:v>+55 27 99821-2719</x:v>
      </x:c>
      <x:c r="K7" s="37" t="str">
        <x:v>https://localtreino.com/fisioterapeutas-esportivos/vila-velha/; https://www.instagram.com/sergiofisio21/reel/Cqi30DUjHB7/</x:v>
      </x:c>
      <x:c r="L7" s="37" t="str">
        <x:v>Instagram aparece como canal principal; telefone direto.</x:v>
      </x:c>
      <x:c r="M7" s="37" t="str">
        <x:v>High</x:v>
      </x:c>
      <x:c r="N7" s="37" t="str">
        <x:v>Busca exata nao exibiu dominio proprio.</x:v>
      </x:c>
      <x:c r="O7" s="38" t="str">
        <x:v>Validar dados finais e enviar demo personalizada.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9.5" customHeight="1">
      <x:c r="A8" s="36" t="str">
        <x:v>Vila Velha/ES</x:v>
      </x:c>
      <x:c r="B8" s="37" t="str">
        <x:v>Hot</x:v>
      </x:c>
      <x:c r="C8" s="37" t="str">
        <x:v>FisioLife Saude Integrada</x:v>
      </x:c>
      <x:c r="D8" s="37" t="str">
        <x:v>Pilates</x:v>
      </x:c>
      <x:c r="E8" s="37" t="str">
        <x:v>Fisioterapia e Pilates</x:v>
      </x:c>
      <x:c r="F8" s="37" t="str">
        <x:v>Praia das Gaivotas</x:v>
      </x:c>
      <x:c r="G8" s="37" t="str">
        <x:v>6 km</x:v>
      </x:c>
      <x:c r="H8" s="37" t="str">
        <x:v>Social only</x:v>
      </x:c>
      <x:c r="I8" s="37" t="str">
        <x:v>https://www.instagram.com/clin_fisiolife/</x:v>
      </x:c>
      <x:c r="J8" s="37" t="str">
        <x:v>+55 27 99873-7295</x:v>
      </x:c>
      <x:c r="K8" s="37" t="str">
        <x:v>https://localtreino.com/fisioterapeutas-esportivos/vila-velha/; https://www.instagram.com/clin_fisiolife/</x:v>
      </x:c>
      <x:c r="L8" s="37" t="str">
        <x:v>Perfil ativo e telefone listado; sem site proprio encontrado.</x:v>
      </x:c>
      <x:c r="M8" s="37" t="str">
        <x:v>High</x:v>
      </x:c>
      <x:c r="N8" s="37" t="str">
        <x:v>Pesquisa exata retornou Instagram/diretorio e nao dominio proprio.</x:v>
      </x:c>
      <x:c r="O8" s="38" t="str">
        <x:v>Validar dados finais e enviar demo personalizada.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9.5" customHeight="1">
      <x:c r="A9" s="36" t="str">
        <x:v>Vila Velha/ES</x:v>
      </x:c>
      <x:c r="B9" s="37" t="str">
        <x:v>Hot</x:v>
      </x:c>
      <x:c r="C9" s="37" t="str">
        <x:v>MoviFisio Clinica de Fisioterapia</x:v>
      </x:c>
      <x:c r="D9" s="37" t="str">
        <x:v>Fisioterapia</x:v>
      </x:c>
      <x:c r="E9" s="37" t="str">
        <x:v>Fisioterapia</x:v>
      </x:c>
      <x:c r="F9" s="37" t="str">
        <x:v>Praia de Itaparica</x:v>
      </x:c>
      <x:c r="G9" s="37" t="str">
        <x:v>7 km</x:v>
      </x:c>
      <x:c r="H9" s="37" t="str">
        <x:v>No site found</x:v>
      </x:c>
      <x:c r="I9" s="37" t="str">
        <x:v>Not found</x:v>
      </x:c>
      <x:c r="J9" s="37" t="str">
        <x:v>+55 27 99901-1358</x:v>
      </x:c>
      <x:c r="K9" s="37" t="str">
        <x:v>https://localtreino.com/fisioterapeutas-esportivos/vila-velha/; https://casadosdados.com.br/solucao/cnpj/lucia-a-de-oliveira-nascimento-centro-de-estudos-38417347000107</x:v>
      </x:c>
      <x:c r="L9" s="37" t="str">
        <x:v>Tem telefone e endereco, mas depende de diretorios.</x:v>
      </x:c>
      <x:c r="M9" s="37" t="str">
        <x:v>Medium</x:v>
      </x:c>
      <x:c r="N9" s="37" t="str">
        <x:v>CNPJ aparece em fonte publica; site proprio nao apareceu na busca exata.</x:v>
      </x:c>
      <x:c r="O9" s="38" t="str">
        <x:v>Validar dados finais e enviar demo personalizada.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9.5" customHeight="1">
      <x:c r="A10" s="36" t="str">
        <x:v>Vila Velha/ES</x:v>
      </x:c>
      <x:c r="B10" s="37" t="str">
        <x:v>Hot</x:v>
      </x:c>
      <x:c r="C10" s="37" t="str">
        <x:v>EC Fisioterapia</x:v>
      </x:c>
      <x:c r="D10" s="37" t="str">
        <x:v>Pilates</x:v>
      </x:c>
      <x:c r="E10" s="37" t="str">
        <x:v>Fisioterapia e Pilates</x:v>
      </x:c>
      <x:c r="F10" s="37" t="str">
        <x:v>Jockey de Itaparica</x:v>
      </x:c>
      <x:c r="G10" s="37" t="str">
        <x:v>7.5 km</x:v>
      </x:c>
      <x:c r="H10" s="37" t="str">
        <x:v>No site found</x:v>
      </x:c>
      <x:c r="I10" s="37" t="str">
        <x:v>https://www.instagram.com/ecpilatesfisioterapia/</x:v>
      </x:c>
      <x:c r="J10" s="37" t="str">
        <x:v>+55 27 98881-5456</x:v>
      </x:c>
      <x:c r="K10" s="37" t="str">
        <x:v>https://localtreino.com/fisioterapeutas-esportivos/vila-velha/; https://www.instagram.com/reel/DV9qJzCklFT/</x:v>
      </x:c>
      <x:c r="L10" s="37" t="str">
        <x:v>Contato publico e presenca social; sem dominio proprio encontrado.</x:v>
      </x:c>
      <x:c r="M10" s="37" t="str">
        <x:v>Medium</x:v>
      </x:c>
      <x:c r="N10" s="37" t="str">
        <x:v>Nome tambem aparece como E C Pilates &amp; Fisioterapia.</x:v>
      </x:c>
      <x:c r="O10" s="38" t="str">
        <x:v>Validar dados finais e enviar demo personalizada.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9.5" customHeight="1">
      <x:c r="A11" s="36" t="str">
        <x:v>Vila Velha/ES</x:v>
      </x:c>
      <x:c r="B11" s="37" t="str">
        <x:v>Hot</x:v>
      </x:c>
      <x:c r="C11" s="37" t="str">
        <x:v>Fisio para Todos</x:v>
      </x:c>
      <x:c r="D11" s="37" t="str">
        <x:v>Fisioterapia</x:v>
      </x:c>
      <x:c r="E11" s="37" t="str">
        <x:v>Fisioterapia</x:v>
      </x:c>
      <x:c r="F11" s="37" t="str">
        <x:v>Gloria</x:v>
      </x:c>
      <x:c r="G11" s="37" t="str">
        <x:v>3.5 km</x:v>
      </x:c>
      <x:c r="H11" s="37" t="str">
        <x:v>No site found</x:v>
      </x:c>
      <x:c r="I11" s="37" t="str">
        <x:v>Not found</x:v>
      </x:c>
      <x:c r="J11" s="37" t="str">
        <x:v>+55 27 98159-2656</x:v>
      </x:c>
      <x:c r="K11" s="37" t="str">
        <x:v>https://localtreino.com/fisioterapeutas-esportivos/vila-velha/; https://www.instagram.com/p/DQPsS5-kksK/</x:v>
      </x:c>
      <x:c r="L11" s="37" t="str">
        <x:v>Telefone listado e sem site proprio visivel.</x:v>
      </x:c>
      <x:c r="M11" s="37" t="str">
        <x:v>Medium</x:v>
      </x:c>
      <x:c r="N11" s="37" t="str">
        <x:v>Pesquisa exata retornou diretorios e posts, nao site proprio.</x:v>
      </x:c>
      <x:c r="O11" s="38" t="str">
        <x:v>Validar dados finais e enviar demo personalizada.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9.5" customHeight="1">
      <x:c r="A12" s="36" t="str">
        <x:v>Vila Velha/ES</x:v>
      </x:c>
      <x:c r="B12" s="37" t="str">
        <x:v>Hot</x:v>
      </x:c>
      <x:c r="C12" s="37" t="str">
        <x:v>Fisioterapeuta Robson Vaillant</x:v>
      </x:c>
      <x:c r="D12" s="37" t="str">
        <x:v>Fisioterapia</x:v>
      </x:c>
      <x:c r="E12" s="37" t="str">
        <x:v>Fisioterapia</x:v>
      </x:c>
      <x:c r="F12" s="37" t="str">
        <x:v>Centro / Prainha</x:v>
      </x:c>
      <x:c r="G12" s="37" t="str">
        <x:v>1.5 km</x:v>
      </x:c>
      <x:c r="H12" s="37" t="str">
        <x:v>No site found</x:v>
      </x:c>
      <x:c r="I12" s="37" t="str">
        <x:v>Not found</x:v>
      </x:c>
      <x:c r="J12" s="37" t="str">
        <x:v>+55 27 99500-4601</x:v>
      </x:c>
      <x:c r="K12" s="37" t="str">
        <x:v>https://localtreino.com/fisioterapeutas-esportivos/vila-velha/</x:v>
      </x:c>
      <x:c r="L12" s="37" t="str">
        <x:v>Profissional local com telefone e sem presenca propria forte.</x:v>
      </x:c>
      <x:c r="M12" s="37" t="str">
        <x:v>Medium</x:v>
      </x:c>
      <x:c r="N12" s="37" t="str">
        <x:v>Validar canal social antes de contato se quiser demo mais personalizada.</x:v>
      </x:c>
      <x:c r="O12" s="38" t="str">
        <x:v>Validar dados finais e enviar demo personalizada.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9.5" customHeight="1">
      <x:c r="A13" s="36" t="str">
        <x:v>Vila Velha/ES</x:v>
      </x:c>
      <x:c r="B13" s="37" t="str">
        <x:v>Hot</x:v>
      </x:c>
      <x:c r="C13" s="37" t="str">
        <x:v>Hiaskara Macedo Fisioterapia</x:v>
      </x:c>
      <x:c r="D13" s="37" t="str">
        <x:v>Fisioterapia</x:v>
      </x:c>
      <x:c r="E13" s="37" t="str">
        <x:v>Fisioterapia</x:v>
      </x:c>
      <x:c r="F13" s="37" t="str">
        <x:v>Itapua</x:v>
      </x:c>
      <x:c r="G13" s="37" t="str">
        <x:v>4.8 km</x:v>
      </x:c>
      <x:c r="H13" s="37" t="str">
        <x:v>No site found</x:v>
      </x:c>
      <x:c r="I13" s="37" t="str">
        <x:v>Not found</x:v>
      </x:c>
      <x:c r="J13" s="37" t="str">
        <x:v>+55 27 99851-4520</x:v>
      </x:c>
      <x:c r="K13" s="37" t="str">
        <x:v>https://localtreino.com/fisioterapeutas-esportivos/vila-velha/; https://localtreino.com/fisioterapeutas-esportivos/vila-velha/itapua/</x:v>
      </x:c>
      <x:c r="L13" s="37" t="str">
        <x:v>Telefone publico e sem site proprio encontrado.</x:v>
      </x:c>
      <x:c r="M13" s="37" t="str">
        <x:v>Medium</x:v>
      </x:c>
      <x:c r="N13" s="37" t="str">
        <x:v>Busca exata nao retornou dominio oficial.</x:v>
      </x:c>
      <x:c r="O13" s="38" t="str">
        <x:v>Validar dados finais e enviar demo personalizada.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9.5" customHeight="1">
      <x:c r="A14" s="36" t="str">
        <x:v>Vila Velha/ES</x:v>
      </x:c>
      <x:c r="B14" s="37" t="str">
        <x:v>Hot</x:v>
      </x:c>
      <x:c r="C14" s="37" t="str">
        <x:v>Fisiocorporis</x:v>
      </x:c>
      <x:c r="D14" s="37" t="str">
        <x:v>Pilates</x:v>
      </x:c>
      <x:c r="E14" s="37" t="str">
        <x:v>Fisioterapia e Pilates</x:v>
      </x:c>
      <x:c r="F14" s="37" t="str">
        <x:v>Itapua</x:v>
      </x:c>
      <x:c r="G14" s="37" t="str">
        <x:v>4.8 km</x:v>
      </x:c>
      <x:c r="H14" s="37" t="str">
        <x:v>Social only</x:v>
      </x:c>
      <x:c r="I14" s="37" t="str">
        <x:v>https://mycardbio.com/fisiocorporis_saude; https://www.instagram.com/fisiocorporis_saude/</x:v>
      </x:c>
      <x:c r="J14" s="37" t="str">
        <x:v>+55 27 99916-6692</x:v>
      </x:c>
      <x:c r="K14" s="37" t="str">
        <x:v>https://localtreino.com/fisioterapeutas-esportivos/vila-velha/; https://www.instagram.com/fisiocorporis_saude/</x:v>
      </x:c>
      <x:c r="L14" s="37" t="str">
        <x:v>Usa cartao/bio link em vez de site proprio.</x:v>
      </x:c>
      <x:c r="M14" s="37" t="str">
        <x:v>High</x:v>
      </x:c>
      <x:c r="N14" s="37" t="str">
        <x:v>Instagram informa WhatsApp e agenda de avaliacao.</x:v>
      </x:c>
      <x:c r="O14" s="38" t="str">
        <x:v>Validar dados finais e enviar demo personalizada.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9.5" customHeight="1">
      <x:c r="A15" s="36" t="str">
        <x:v>Vila Velha/ES</x:v>
      </x:c>
      <x:c r="B15" s="37" t="str">
        <x:v>Hot</x:v>
      </x:c>
      <x:c r="C15" s="37" t="str">
        <x:v>Evolucao Centro de Saude</x:v>
      </x:c>
      <x:c r="D15" s="37" t="str">
        <x:v>Saude</x:v>
      </x:c>
      <x:c r="E15" s="37" t="str">
        <x:v>Centro de Saude / Terapias</x:v>
      </x:c>
      <x:c r="F15" s="37" t="str">
        <x:v>Praia da Costa</x:v>
      </x:c>
      <x:c r="G15" s="37" t="str">
        <x:v>2 km</x:v>
      </x:c>
      <x:c r="H15" s="37" t="str">
        <x:v>Social only</x:v>
      </x:c>
      <x:c r="I15" s="37" t="str">
        <x:v>https://linktr.ee/evolucao.cs; https://linktr.ee/evolucao.cs</x:v>
      </x:c>
      <x:c r="J15" s="37" t="str">
        <x:v>+55 27 99244-4185</x:v>
      </x:c>
      <x:c r="K15" s="37" t="str">
        <x:v>https://localtreino.com/fisioterapeutas-esportivos/vila-velha/; https://www.doctoralia.com.br/doencas/sindrome-de-burnout/vila-velha</x:v>
      </x:c>
      <x:c r="L15" s="37" t="str">
        <x:v>Usa Linktree/Doctoralia; oportunidade de site proprio.</x:v>
      </x:c>
      <x:c r="M15" s="37" t="str">
        <x:v>High</x:v>
      </x:c>
      <x:c r="N15" s="37" t="str">
        <x:v>Doctoralia confirma endereco em Vila Velha.</x:v>
      </x:c>
      <x:c r="O15" s="38" t="str">
        <x:v>Validar dados finais e enviar demo personalizada.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49.5" customHeight="1">
      <x:c r="A16" s="36" t="str">
        <x:v>Vila Velha/ES</x:v>
      </x:c>
      <x:c r="B16" s="37" t="str">
        <x:v>Hot</x:v>
      </x:c>
      <x:c r="C16" s="37" t="str">
        <x:v>Espaco FisioVida</x:v>
      </x:c>
      <x:c r="D16" s="37" t="str">
        <x:v>Pilates</x:v>
      </x:c>
      <x:c r="E16" s="37" t="str">
        <x:v>Fisioterapia e Pilates</x:v>
      </x:c>
      <x:c r="F16" s="37" t="str">
        <x:v>IBES</x:v>
      </x:c>
      <x:c r="G16" s="37" t="str">
        <x:v>5 km</x:v>
      </x:c>
      <x:c r="H16" s="37" t="str">
        <x:v>No site found</x:v>
      </x:c>
      <x:c r="I16" s="37" t="str">
        <x:v>https://www.instagram.com/espaco.fisiovida/</x:v>
      </x:c>
      <x:c r="J16" s="37" t="str">
        <x:v>+55 27 99846-9349</x:v>
      </x:c>
      <x:c r="K16" s="37" t="str">
        <x:v>https://localtreino.com/fisioterapeutas-esportivos/vila-velha/; https://www.instagram.com/p/DN6S2vuDyn4/</x:v>
      </x:c>
      <x:c r="L16" s="37" t="str">
        <x:v>Presenca social/diretorio; sem site proprio encontrado.</x:v>
      </x:c>
      <x:c r="M16" s="37" t="str">
        <x:v>Medium</x:v>
      </x:c>
      <x:c r="N16" s="37" t="str">
        <x:v>Telefone vem de diretorio; confirmar no contato.</x:v>
      </x:c>
      <x:c r="O16" s="38" t="str">
        <x:v>Validar dados finais e enviar demo personalizada.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 ht="49.5" customHeight="1">
      <x:c r="A17" s="36" t="str">
        <x:v>Vila Velha/ES</x:v>
      </x:c>
      <x:c r="B17" s="37" t="str">
        <x:v>Hot</x:v>
      </x:c>
      <x:c r="C17" s="37" t="str">
        <x:v>FisioterapiaHD</x:v>
      </x:c>
      <x:c r="D17" s="37" t="str">
        <x:v>Fisioterapia</x:v>
      </x:c>
      <x:c r="E17" s="37" t="str">
        <x:v>Fisioterapia</x:v>
      </x:c>
      <x:c r="F17" s="37" t="str">
        <x:v>Praia de Itaparica</x:v>
      </x:c>
      <x:c r="G17" s="37" t="str">
        <x:v>7 km</x:v>
      </x:c>
      <x:c r="H17" s="37" t="str">
        <x:v>Social only</x:v>
      </x:c>
      <x:c r="I17" s="37" t="str">
        <x:v>https://www.instagram.com/fisioterapia.hd/</x:v>
      </x:c>
      <x:c r="J17" s="37" t="str">
        <x:v>+55 27 99988-7148</x:v>
      </x:c>
      <x:c r="K17" s="37" t="str">
        <x:v>https://localtreino.com/fisioterapeutas-esportivos/vila-velha/; https://www.instagram.com/fisioterapia.hd/</x:v>
      </x:c>
      <x:c r="L17" s="37" t="str">
        <x:v>Instagram listado como canal; telefone direto.</x:v>
      </x:c>
      <x:c r="M17" s="37" t="str">
        <x:v>High</x:v>
      </x:c>
      <x:c r="N17" s="37" t="str">
        <x:v>Busca exata nao mostrou dominio proprio.</x:v>
      </x:c>
      <x:c r="O17" s="38" t="str">
        <x:v>Validar dados finais e enviar demo personalizada.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 ht="49.5" customHeight="1">
      <x:c r="A18" s="36" t="str">
        <x:v>Vila Velha/ES</x:v>
      </x:c>
      <x:c r="B18" s="37" t="str">
        <x:v>Hot</x:v>
      </x:c>
      <x:c r="C18" s="37" t="str">
        <x:v>VIAFISIO</x:v>
      </x:c>
      <x:c r="D18" s="37" t="str">
        <x:v>Pilates</x:v>
      </x:c>
      <x:c r="E18" s="37" t="str">
        <x:v>Fisioterapia, Pilates e Massoterapia</x:v>
      </x:c>
      <x:c r="F18" s="37" t="str">
        <x:v>Praia de Itaparica</x:v>
      </x:c>
      <x:c r="G18" s="37" t="str">
        <x:v>7 km</x:v>
      </x:c>
      <x:c r="H18" s="37" t="str">
        <x:v>Social only</x:v>
      </x:c>
      <x:c r="I18" s="37" t="str">
        <x:v>https://www.instagram.com/viafisiopilates/</x:v>
      </x:c>
      <x:c r="J18" s="37" t="str">
        <x:v>+55 27 99252-1125</x:v>
      </x:c>
      <x:c r="K18" s="37" t="str">
        <x:v>https://localtreino.com/fisioterapeutas-esportivos/vila-velha/; https://www.instagram.com/viafisiopilates/</x:v>
      </x:c>
      <x:c r="L18" s="37" t="str">
        <x:v>Contato e Instagram visiveis; sem site proprio.</x:v>
      </x:c>
      <x:c r="M18" s="37" t="str">
        <x:v>High</x:v>
      </x:c>
      <x:c r="N18" s="37" t="str">
        <x:v>Nome completo no diretorio: VIAFISIO Pilates Fisioterapia Massoterapia.</x:v>
      </x:c>
      <x:c r="O18" s="38" t="str">
        <x:v>Validar dados finais e enviar demo personalizada.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49.5" customHeight="1">
      <x:c r="A19" s="36" t="str">
        <x:v>Vila Velha/ES</x:v>
      </x:c>
      <x:c r="B19" s="37" t="str">
        <x:v>Hot</x:v>
      </x:c>
      <x:c r="C19" s="37" t="str">
        <x:v>Equipe Fisioterapia Especializada</x:v>
      </x:c>
      <x:c r="D19" s="37" t="str">
        <x:v>Fisioterapia</x:v>
      </x:c>
      <x:c r="E19" s="37" t="str">
        <x:v>Fisioterapia especializada</x:v>
      </x:c>
      <x:c r="F19" s="37" t="str">
        <x:v>Praia da Costa</x:v>
      </x:c>
      <x:c r="G19" s="37" t="str">
        <x:v>2 km</x:v>
      </x:c>
      <x:c r="H19" s="37" t="str">
        <x:v>No site found</x:v>
      </x:c>
      <x:c r="I19" s="37" t="str">
        <x:v>Not found</x:v>
      </x:c>
      <x:c r="J19" s="37" t="str">
        <x:v>+55 27 3329-8339; +55 27 3329-3673</x:v>
      </x:c>
      <x:c r="K19" s="37" t="str">
        <x:v>https://www.apontador.com.br/local/es/vila_velha/clinicas_de_fisioterapia/XQRMDWYX/equipe_fisioterapia_especializada.html; https://cretovale.coop.br/2021/03/18/ganhadora-do-spa-presente/</x:v>
      </x:c>
      <x:c r="L19" s="37" t="str">
        <x:v>Telefone e especialidades publicas; sem dominio proprio encontrado.</x:v>
      </x:c>
      <x:c r="M19" s="37" t="str">
        <x:v>High</x:v>
      </x:c>
      <x:c r="N19" s="37" t="str">
        <x:v>Fontes independentes confirmam endereco/telefone em Vila Velha.</x:v>
      </x:c>
      <x:c r="O19" s="38" t="str">
        <x:v>Validar dados finais e enviar demo personalizada.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 ht="49.5" customHeight="1">
      <x:c r="A20" s="36" t="str">
        <x:v>Vila Velha/ES</x:v>
      </x:c>
      <x:c r="B20" s="37" t="str">
        <x:v>Hot</x:v>
      </x:c>
      <x:c r="C20" s="37" t="str">
        <x:v>Center Pilates &amp; Fisioterapia</x:v>
      </x:c>
      <x:c r="D20" s="37" t="str">
        <x:v>Pilates</x:v>
      </x:c>
      <x:c r="E20" s="37" t="str">
        <x:v>Fisioterapia e Pilates</x:v>
      </x:c>
      <x:c r="F20" s="37" t="str">
        <x:v>Ataide</x:v>
      </x:c>
      <x:c r="G20" s="37" t="str">
        <x:v>4 km</x:v>
      </x:c>
      <x:c r="H20" s="37" t="str">
        <x:v>No site found</x:v>
      </x:c>
      <x:c r="I20" s="37" t="str">
        <x:v>Not found</x:v>
      </x:c>
      <x:c r="J20" s="37" t="str">
        <x:v>+55 27 3052-1340</x:v>
      </x:c>
      <x:c r="K20" s="37" t="str">
        <x:v>https://localtreino.com/estudios-de-pilates/vila-velha/; https://www.instagram.com/centerpilates_fisioterapia/</x:v>
      </x:c>
      <x:c r="L20" s="37" t="str">
        <x:v>Telefone e listagem local; sem site proprio visivel.</x:v>
      </x:c>
      <x:c r="M20" s="37" t="str">
        <x:v>Medium</x:v>
      </x:c>
      <x:c r="N20" s="37" t="str">
        <x:v>A busca retornou tambem unidades fora de Vila Velha; validar unidade no contato.</x:v>
      </x:c>
      <x:c r="O20" s="38" t="str">
        <x:v>Validar dados finais e enviar demo personalizada.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 ht="49.5" customHeight="1">
      <x:c r="A21" s="36" t="str">
        <x:v>Vila Velha/ES</x:v>
      </x:c>
      <x:c r="B21" s="37" t="str">
        <x:v>Hot</x:v>
      </x:c>
      <x:c r="C21" s="37" t="str">
        <x:v>Respirar Pilates e Fisioterapia</x:v>
      </x:c>
      <x:c r="D21" s="37" t="str">
        <x:v>Pilates</x:v>
      </x:c>
      <x:c r="E21" s="37" t="str">
        <x:v>Fisioterapia e Pilates</x:v>
      </x:c>
      <x:c r="F21" s="37" t="str">
        <x:v>Santa Monica</x:v>
      </x:c>
      <x:c r="G21" s="37" t="str">
        <x:v>6 km</x:v>
      </x:c>
      <x:c r="H21" s="37" t="str">
        <x:v>No site found</x:v>
      </x:c>
      <x:c r="I21" s="37" t="str">
        <x:v>Not found</x:v>
      </x:c>
      <x:c r="J21" s="37" t="str">
        <x:v>+55 27 99950-3365</x:v>
      </x:c>
      <x:c r="K21" s="37" t="str">
        <x:v>https://localtreino.com/estudios-de-pilates/vila-velha/</x:v>
      </x:c>
      <x:c r="L21" s="37" t="str">
        <x:v>Contato publico, sem dominio proprio encontrado.</x:v>
      </x:c>
      <x:c r="M21" s="37" t="str">
        <x:v>Medium</x:v>
      </x:c>
      <x:c r="N21" s="37" t="str">
        <x:v>Linha extraida de diretorio local; fazer validacao final antes da demo.</x:v>
      </x:c>
      <x:c r="O21" s="38" t="str">
        <x:v>Validar dados finais e enviar demo personalizada.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 ht="49.5" customHeight="1">
      <x:c r="A22" s="36" t="str">
        <x:v>Vila Velha/ES</x:v>
      </x:c>
      <x:c r="B22" s="37" t="str">
        <x:v>Hot</x:v>
      </x:c>
      <x:c r="C22" s="37" t="str">
        <x:v>Mover Saude Pilates e Musculacao Terapeutica</x:v>
      </x:c>
      <x:c r="D22" s="37" t="str">
        <x:v>Pilates</x:v>
      </x:c>
      <x:c r="E22" s="37" t="str">
        <x:v>Pilates e Musculacao Terapeutica</x:v>
      </x:c>
      <x:c r="F22" s="37" t="str">
        <x:v>Centro</x:v>
      </x:c>
      <x:c r="G22" s="37" t="str">
        <x:v>1.5 km</x:v>
      </x:c>
      <x:c r="H22" s="37" t="str">
        <x:v>Social only</x:v>
      </x:c>
      <x:c r="I22" s="37" t="str">
        <x:v>https://contate.me/ios/moversaude; https://www.instagram.com/moversaude_/</x:v>
      </x:c>
      <x:c r="J22" s="37" t="str">
        <x:v>+55 27 99905-1156</x:v>
      </x:c>
      <x:c r="K22" s="37" t="str">
        <x:v>https://localtreino.com/estudios-de-pilates/vila-velha/; https://www.instagram.com/reel/DTBbeAdDn0D/</x:v>
      </x:c>
      <x:c r="L22" s="37" t="str">
        <x:v>Usa link de contato em vez de site proprio.</x:v>
      </x:c>
      <x:c r="M22" s="37" t="str">
        <x:v>High</x:v>
      </x:c>
      <x:c r="N22" s="37" t="str">
        <x:v>Instagram e diretorio confirmam Vila Velha.</x:v>
      </x:c>
      <x:c r="O22" s="38" t="str">
        <x:v>Validar dados finais e enviar demo personalizada.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 ht="49.5" customHeight="1">
      <x:c r="A23" s="36" t="str">
        <x:v>Vila Velha/ES</x:v>
      </x:c>
      <x:c r="B23" s="37" t="str">
        <x:v>Hot</x:v>
      </x:c>
      <x:c r="C23" s="37" t="str">
        <x:v>Studio de Pilates Sabrina Braga</x:v>
      </x:c>
      <x:c r="D23" s="37" t="str">
        <x:v>Pilates</x:v>
      </x:c>
      <x:c r="E23" s="37" t="str">
        <x:v>Fisioterapia, Pilates e Massagem</x:v>
      </x:c>
      <x:c r="F23" s="37" t="str">
        <x:v>Itapua</x:v>
      </x:c>
      <x:c r="G23" s="37" t="str">
        <x:v>5 km</x:v>
      </x:c>
      <x:c r="H23" s="37" t="str">
        <x:v>Social only</x:v>
      </x:c>
      <x:c r="I23" s="37" t="str">
        <x:v>https://www.instagram.com/sabrinabragafisio/</x:v>
      </x:c>
      <x:c r="J23" s="37" t="str">
        <x:v>+55 27 99825-1293</x:v>
      </x:c>
      <x:c r="K23" s="37" t="str">
        <x:v>https://localtreino.com/estudios-de-pilates/vila-velha/; https://localtreino.com/estudios-de-pilates/vila-velha/itapua/</x:v>
      </x:c>
      <x:c r="L23" s="37" t="str">
        <x:v>Instagram listado; sem site proprio encontrado.</x:v>
      </x:c>
      <x:c r="M23" s="37" t="str">
        <x:v>High</x:v>
      </x:c>
      <x:c r="N23" s="37" t="str">
        <x:v>Boa candidata para demo simples focada em pilates/fisioterapia.</x:v>
      </x:c>
      <x:c r="O23" s="38" t="str">
        <x:v>Validar dados finais e enviar demo personalizada.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49.5" customHeight="1">
      <x:c r="A24" s="36" t="str">
        <x:v>Vila Velha/ES</x:v>
      </x:c>
      <x:c r="B24" s="37" t="str">
        <x:v>Hot</x:v>
      </x:c>
      <x:c r="C24" s="37" t="str">
        <x:v>Merinha Braga Studio Pilates</x:v>
      </x:c>
      <x:c r="D24" s="37" t="str">
        <x:v>Pilates</x:v>
      </x:c>
      <x:c r="E24" s="37" t="str">
        <x:v>Pilates</x:v>
      </x:c>
      <x:c r="F24" s="37" t="str">
        <x:v>Praia da Costa</x:v>
      </x:c>
      <x:c r="G24" s="37" t="str">
        <x:v>2 km</x:v>
      </x:c>
      <x:c r="H24" s="37" t="str">
        <x:v>Social only</x:v>
      </x:c>
      <x:c r="I24" s="37" t="str">
        <x:v>https://www.instagram.com/merinhabraga/</x:v>
      </x:c>
      <x:c r="J24" s="37" t="str">
        <x:v>+55 27 99746-0066</x:v>
      </x:c>
      <x:c r="K24" s="37" t="str">
        <x:v>https://localtreino.com/estudios-de-pilates/vila-velha/</x:v>
      </x:c>
      <x:c r="L24" s="37" t="str">
        <x:v>Instagram e telefone, sem dominio proprio encontrado.</x:v>
      </x:c>
      <x:c r="M24" s="37" t="str">
        <x:v>High</x:v>
      </x:c>
      <x:c r="N24" s="37" t="str">
        <x:v>Perfil local com oportunidade de site one-page.</x:v>
      </x:c>
      <x:c r="O24" s="38" t="str">
        <x:v>Validar dados finais e enviar demo personalizada.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49.5" customHeight="1">
      <x:c r="A25" s="36" t="str">
        <x:v>Vila Velha/ES</x:v>
      </x:c>
      <x:c r="B25" s="37" t="str">
        <x:v>Hot</x:v>
      </x:c>
      <x:c r="C25" s="37" t="str">
        <x:v>FisioMovi Pilates e Fisioterapia</x:v>
      </x:c>
      <x:c r="D25" s="37" t="str">
        <x:v>Pilates</x:v>
      </x:c>
      <x:c r="E25" s="37" t="str">
        <x:v>Fisioterapia e Pilates</x:v>
      </x:c>
      <x:c r="F25" s="37" t="str">
        <x:v>Praia de Itaparica</x:v>
      </x:c>
      <x:c r="G25" s="37" t="str">
        <x:v>7 km</x:v>
      </x:c>
      <x:c r="H25" s="37" t="str">
        <x:v>No site found</x:v>
      </x:c>
      <x:c r="I25" s="37" t="str">
        <x:v>Not found</x:v>
      </x:c>
      <x:c r="J25" s="37" t="str">
        <x:v>+55 27 99662-2323</x:v>
      </x:c>
      <x:c r="K25" s="37" t="str">
        <x:v>https://localtreino.com/estudios-de-pilates/vila-velha/</x:v>
      </x:c>
      <x:c r="L25" s="37" t="str">
        <x:v>Telefone publico; nenhum site proprio listado.</x:v>
      </x:c>
      <x:c r="M25" s="37" t="str">
        <x:v>Medium</x:v>
      </x:c>
      <x:c r="N25" s="37" t="str">
        <x:v>Validar rede social antes de personalizar demo.</x:v>
      </x:c>
      <x:c r="O25" s="38" t="str">
        <x:v>Validar dados finais e enviar demo personalizada.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 ht="49.5" customHeight="1">
      <x:c r="A26" s="36" t="str">
        <x:v>Vila Velha/ES</x:v>
      </x:c>
      <x:c r="B26" s="37" t="str">
        <x:v>Hot</x:v>
      </x:c>
      <x:c r="C26" s="37" t="str">
        <x:v>My Space Pilates e Fisioterapia</x:v>
      </x:c>
      <x:c r="D26" s="37" t="str">
        <x:v>Pilates</x:v>
      </x:c>
      <x:c r="E26" s="37" t="str">
        <x:v>Fisioterapia e Pilates</x:v>
      </x:c>
      <x:c r="F26" s="37" t="str">
        <x:v>Itapua</x:v>
      </x:c>
      <x:c r="G26" s="37" t="str">
        <x:v>4.8 km</x:v>
      </x:c>
      <x:c r="H26" s="37" t="str">
        <x:v>No site found</x:v>
      </x:c>
      <x:c r="I26" s="37" t="str">
        <x:v>Not found</x:v>
      </x:c>
      <x:c r="J26" s="37" t="str">
        <x:v>+55 27 98897-0058</x:v>
      </x:c>
      <x:c r="K26" s="37" t="str">
        <x:v>https://localtreino.com/estudios-de-pilates/vila-velha/; https://localtreino.com/estudios-de-pilates/vila-velha/itapua/</x:v>
      </x:c>
      <x:c r="L26" s="37" t="str">
        <x:v>Telefone publico e ausencia de dominio proprio listado.</x:v>
      </x:c>
      <x:c r="M26" s="37" t="str">
        <x:v>Medium</x:v>
      </x:c>
      <x:c r="N26" s="37" t="str">
        <x:v>Candidato bom para abordagem com demo enxuta.</x:v>
      </x:c>
      <x:c r="O26" s="38" t="str">
        <x:v>Validar dados finais e enviar demo personalizada.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 ht="49.5" customHeight="1">
      <x:c r="A27" s="36" t="str">
        <x:v>Vila Velha/ES</x:v>
      </x:c>
      <x:c r="B27" s="37" t="str">
        <x:v>Hot</x:v>
      </x:c>
      <x:c r="C27" s="37" t="str">
        <x:v>Odontomax Clinica Odontologica</x:v>
      </x:c>
      <x:c r="D27" s="37" t="str">
        <x:v>Odontologia</x:v>
      </x:c>
      <x:c r="E27" s="37" t="str">
        <x:v>Odontologia</x:v>
      </x:c>
      <x:c r="F27" s="37" t="str">
        <x:v>Novo Mexico / Vila Velha</x:v>
      </x:c>
      <x:c r="G27" s="37" t="str">
        <x:v>6 km</x:v>
      </x:c>
      <x:c r="H27" s="37" t="str">
        <x:v>Social only</x:v>
      </x:c>
      <x:c r="I27" s="37" t="str">
        <x:v>https://www.instagram.com/odontomaxvv/</x:v>
      </x:c>
      <x:c r="J27" s="37" t="str">
        <x:v>+55 27 99811-4067</x:v>
      </x:c>
      <x:c r="K27" s="37" t="str">
        <x:v>https://www.instagram.com/odontomaxvv/; https://www.instagram.com/p/CX1o_P5FafQ/</x:v>
      </x:c>
      <x:c r="L27" s="37" t="str">
        <x:v>Clinica odontologica ativa com WhatsApp e sem site proprio encontrado.</x:v>
      </x:c>
      <x:c r="M27" s="37" t="str">
        <x:v>High</x:v>
      </x:c>
      <x:c r="N27" s="37" t="str">
        <x:v>Busca exata retornou Instagram/posts e nao dominio proprio.</x:v>
      </x:c>
      <x:c r="O27" s="38" t="str">
        <x:v>Validar dados finais e enviar demo personalizada.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 ht="49.5" customHeight="1">
      <x:c r="A28" s="36" t="str">
        <x:v>Vila Velha/ES</x:v>
      </x:c>
      <x:c r="B28" s="37" t="str">
        <x:v>Warm</x:v>
      </x:c>
      <x:c r="C28" s="37" t="str">
        <x:v>Odonto DEF</x:v>
      </x:c>
      <x:c r="D28" s="37" t="str">
        <x:v>Odontologia</x:v>
      </x:c>
      <x:c r="E28" s="37" t="str">
        <x:v>Odontologia</x:v>
      </x:c>
      <x:c r="F28" s="37" t="str">
        <x:v>Santa Ines</x:v>
      </x:c>
      <x:c r="G28" s="37" t="str">
        <x:v>4.5 km</x:v>
      </x:c>
      <x:c r="H28" s="37" t="str">
        <x:v>Social only</x:v>
      </x:c>
      <x:c r="I28" s="37" t="str">
        <x:v>https://www.instagram.com/odontodefvv/</x:v>
      </x:c>
      <x:c r="J28" s="37" t="str">
        <x:v>WhatsApp no perfil; numero nao visivel na busca</x:v>
      </x:c>
      <x:c r="K28" s="37" t="str">
        <x:v>https://www.instagram.com/odontodefvv/; https://www.instagram.com/reel/DXZU2dAjQAN/</x:v>
      </x:c>
      <x:c r="L28" s="37" t="str">
        <x:v>Depende do Instagram/WhatsApp em bio; sem site proprio encontrado.</x:v>
      </x:c>
      <x:c r="M28" s="37" t="str">
        <x:v>Medium</x:v>
      </x:c>
      <x:c r="N28" s="37" t="str">
        <x:v>Priorizar depois de confirmar numero no perfil.</x:v>
      </x:c>
      <x:c r="O28" s="38" t="str">
        <x:v>Validar dados finais e enviar demo personalizada.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 ht="49.5" customHeight="1">
      <x:c r="A29" s="36" t="str">
        <x:v>Vila Velha/ES</x:v>
      </x:c>
      <x:c r="B29" s="37" t="str">
        <x:v>Warm</x:v>
      </x:c>
      <x:c r="C29" s="37" t="str">
        <x:v>GaHe Clinica Odontologica</x:v>
      </x:c>
      <x:c r="D29" s="37" t="str">
        <x:v>Odontologia</x:v>
      </x:c>
      <x:c r="E29" s="37" t="str">
        <x:v>Odontologia</x:v>
      </x:c>
      <x:c r="F29" s="37" t="str">
        <x:v>Santa Monica</x:v>
      </x:c>
      <x:c r="G29" s="37" t="str">
        <x:v>6 km</x:v>
      </x:c>
      <x:c r="H29" s="37" t="str">
        <x:v>Social only</x:v>
      </x:c>
      <x:c r="I29" s="37" t="str">
        <x:v>https://www.instagram.com/gahe.clinica/</x:v>
      </x:c>
      <x:c r="J29" s="37" t="str">
        <x:v>WhatsApp no perfil; numero nao visivel na busca</x:v>
      </x:c>
      <x:c r="K29" s="37" t="str">
        <x:v>https://www.instagram.com/gahe.clinica/; https://www.instagram.com/p/DTJGgh2FL4T/</x:v>
      </x:c>
      <x:c r="L29" s="37" t="str">
        <x:v>Clinica nova/ativa, sem site proprio encontrado.</x:v>
      </x:c>
      <x:c r="M29" s="37" t="str">
        <x:v>Medium</x:v>
      </x:c>
      <x:c r="N29" s="37" t="str">
        <x:v>Boa candidata para demo visual, mas confirmar telefone antes.</x:v>
      </x:c>
      <x:c r="O29" s="38" t="str">
        <x:v>Validar dados finais e enviar demo personalizada.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 ht="49.5" customHeight="1">
      <x:c r="A30" s="36" t="str">
        <x:v>Vila Velha/ES</x:v>
      </x:c>
      <x:c r="B30" s="37" t="str">
        <x:v>Hot</x:v>
      </x:c>
      <x:c r="C30" s="37" t="str">
        <x:v>Dentista do Trabalhador</x:v>
      </x:c>
      <x:c r="D30" s="37" t="str">
        <x:v>Odontologia</x:v>
      </x:c>
      <x:c r="E30" s="37" t="str">
        <x:v>Odontologia</x:v>
      </x:c>
      <x:c r="F30" s="37" t="str">
        <x:v>Gloria</x:v>
      </x:c>
      <x:c r="G30" s="37" t="str">
        <x:v>3 km</x:v>
      </x:c>
      <x:c r="H30" s="37" t="str">
        <x:v>Social only</x:v>
      </x:c>
      <x:c r="I30" s="37" t="str">
        <x:v>https://www.instagram.com/dentista.do.trabalhador/</x:v>
      </x:c>
      <x:c r="J30" s="37" t="str">
        <x:v>+55 27 99947-3831</x:v>
      </x:c>
      <x:c r="K30" s="37" t="str">
        <x:v>https://www.instagram.com/dentista.do.trabalhador/; https://www.facebook.com/dentistadotrabalhador.es/</x:v>
      </x:c>
      <x:c r="L30" s="37" t="str">
        <x:v>Telefone/WhatsApp publico e sem site proprio encontrado.</x:v>
      </x:c>
      <x:c r="M30" s="37" t="str">
        <x:v>High</x:v>
      </x:c>
      <x:c r="N30" s="37" t="str">
        <x:v>Facebook/Instagram confirmam unidade em Vila Velha.</x:v>
      </x:c>
      <x:c r="O30" s="38" t="str">
        <x:v>Validar dados finais e enviar demo personalizada.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 ht="49.5" customHeight="1">
      <x:c r="A31" s="36" t="str">
        <x:v>Vila Velha/ES</x:v>
      </x:c>
      <x:c r="B31" s="37" t="str">
        <x:v>Warm</x:v>
      </x:c>
      <x:c r="C31" s="37" t="str">
        <x:v>Laboratorio Popular</x:v>
      </x:c>
      <x:c r="D31" s="37" t="str">
        <x:v>Laboratorio</x:v>
      </x:c>
      <x:c r="E31" s="37" t="str">
        <x:v>Laboratorio de analises clinicas</x:v>
      </x:c>
      <x:c r="F31" s="37" t="str">
        <x:v>Gloria / Praia da Costa</x:v>
      </x:c>
      <x:c r="G31" s="37" t="str">
        <x:v>3 km</x:v>
      </x:c>
      <x:c r="H31" s="37" t="str">
        <x:v>Social only</x:v>
      </x:c>
      <x:c r="I31" s="37" t="str">
        <x:v>https://www.instagram.com/laboratoriopopularvv/; https://www.facebook.com/labpopular.org/</x:v>
      </x:c>
      <x:c r="J31" s="37" t="str">
        <x:v>+55 27 99984-7614; +55 27 3013-8000</x:v>
      </x:c>
      <x:c r="K31" s="37" t="str">
        <x:v>https://www.instagram.com/laboratoriopopularvv/; https://www.facebook.com/labpopular.org/; https://renascervitoria.com.br/convenios/</x:v>
      </x:c>
      <x:c r="L31" s="37" t="str">
        <x:v>Aparece com Instagram/Facebook e telefone; site proprio nao foi encontrado/indexado.</x:v>
      </x:c>
      <x:c r="M31" s="37" t="str">
        <x:v>Medium</x:v>
      </x:c>
      <x:c r="N31" s="37" t="str">
        <x:v>Ha dominio citado como email/Facebook, mas busca direta nao encontrou site indexado; validar antes da demo.</x:v>
      </x:c>
      <x:c r="O31" s="38" t="str">
        <x:v>Validar dados finais e enviar demo personalizada.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 ht="49.5" customHeight="1">
      <x:c r="A32" s="36" t="str">
        <x:v>Vitoria/ES</x:v>
      </x:c>
      <x:c r="B32" s="37" t="str">
        <x:v>Hot</x:v>
      </x:c>
      <x:c r="C32" s="37" t="str">
        <x:v>Clínica Equilíbrio Fisioterapia</x:v>
      </x:c>
      <x:c r="D32" s="37" t="str">
        <x:v>Fisioterapia/Terapias</x:v>
      </x:c>
      <x:c r="E32" s="37" t="str">
        <x:v>Fisioterapia</x:v>
      </x:c>
      <x:c r="F32" s="37" t="str">
        <x:v>Enseada do Suá</x:v>
      </x:c>
      <x:c r="G32" s="37" t="str">
        <x:v>&lt;=10 km</x:v>
      </x:c>
      <x:c r="H32" s="37" t="str">
        <x:v>Somente social</x:v>
      </x:c>
      <x:c r="I32" s="37" t="str">
        <x:v>Instagram / sem site listado</x:v>
      </x:c>
      <x:c r="J32" s="37" t="str">
        <x:v>(27) 3235-1857</x:v>
      </x:c>
      <x:c r="K32" s="37" t="str">
        <x:v>https://br.todosnegocios.com/pt/clinica-equilibrio-fisioterapia-e_1m-27-3235-1857</x:v>
      </x:c>
      <x:c r="L32" s="37" t="str">
        <x:v>Clínica ativa com contato e sem site próprio.</x:v>
      </x:c>
      <x:c r="M32" s="37" t="str">
        <x:v>High</x:v>
      </x:c>
      <x:c r="N32" s="37" t="str">
        <x:v>Fonte informa Instagram e ausência de site listado.</x:v>
      </x:c>
      <x:c r="O32" s="38" t="str">
        <x:v>Abordar oferecendo site institucional com CTA para WhatsApp.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 ht="49.5" customHeight="1">
      <x:c r="A33" s="36" t="str">
        <x:v>Vitoria/ES</x:v>
      </x:c>
      <x:c r="B33" s="37" t="str">
        <x:v>Hot</x:v>
      </x:c>
      <x:c r="C33" s="37" t="str">
        <x:v>Espaço Vitta Saúde</x:v>
      </x:c>
      <x:c r="D33" s="37" t="str">
        <x:v>Fisioterapia/Terapias</x:v>
      </x:c>
      <x:c r="E33" s="37" t="str">
        <x:v>Fisioterapia, pilates, saúde integrada</x:v>
      </x:c>
      <x:c r="F33" s="37" t="str">
        <x:v>Jardim da Penha</x:v>
      </x:c>
      <x:c r="G33" s="37" t="str">
        <x:v>&lt;=10 km</x:v>
      </x:c>
      <x:c r="H33" s="37" t="str">
        <x:v>Somente social</x:v>
      </x:c>
      <x:c r="I33" s="37" t="str">
        <x:v>Instagram @vittasaudee</x:v>
      </x:c>
      <x:c r="J33" s="37" t="str">
        <x:v>(27) 2142-1173</x:v>
      </x:c>
      <x:c r="K33" s="37" t="str">
        <x:v>https://ajudes.org.br/project/espaco-vitta-saude/</x:v>
      </x:c>
      <x:c r="L33" s="37" t="str">
        <x:v>ME ativa, presença pública dependente de Instagram/diretórios.</x:v>
      </x:c>
      <x:c r="M33" s="37" t="str">
        <x:v>High</x:v>
      </x:c>
      <x:c r="N33" s="37" t="str">
        <x:v>Confirmado em convênio Ajudes e cadastro CNPJ público.</x:v>
      </x:c>
      <x:c r="O33" s="38" t="str">
        <x:v>Abordar com landing page para serviços e agendamento.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 ht="49.5" customHeight="1">
      <x:c r="A34" s="36" t="str">
        <x:v>Vitoria/ES</x:v>
      </x:c>
      <x:c r="B34" s="37" t="str">
        <x:v>Hot</x:v>
      </x:c>
      <x:c r="C34" s="37" t="str">
        <x:v>EssenceSaúde</x:v>
      </x:c>
      <x:c r="D34" s="37" t="str">
        <x:v>Fisioterapia/Terapias</x:v>
      </x:c>
      <x:c r="E34" s="37" t="str">
        <x:v>Terapias integrativas, fisioterapia</x:v>
      </x:c>
      <x:c r="F34" s="37" t="str">
        <x:v>Praia do Suá</x:v>
      </x:c>
      <x:c r="G34" s="37" t="str">
        <x:v>&lt;=10 km</x:v>
      </x:c>
      <x:c r="H34" s="37" t="str">
        <x:v>Google Sites + booking</x:v>
      </x:c>
      <x:c r="I34" s="37" t="str">
        <x:v>Google Sites + Setmore + Instagram</x:v>
      </x:c>
      <x:c r="J34" s="37" t="str">
        <x:v>(27) 99779-6437</x:v>
      </x:c>
      <x:c r="K34" s="37" t="str">
        <x:v>https://sites.google.com/view/essencesade</x:v>
      </x:c>
      <x:c r="L34" s="37" t="str">
        <x:v>Tem site em Google Sites e agenda externa; oportunidade de melhorar presença própria.</x:v>
      </x:c>
      <x:c r="M34" s="37" t="str">
        <x:v>High</x:v>
      </x:c>
      <x:c r="N34" s="37" t="str">
        <x:v>Fonte adicional: Setmore/SindjudES lista Instagram e WhatsApp.</x:v>
      </x:c>
      <x:c r="O34" s="38" t="str">
        <x:v>Oferecer redesign/landing page integrada ao WhatsApp e reservas.</x:v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 ht="49.5" customHeight="1">
      <x:c r="A35" s="36" t="str">
        <x:v>Vitoria/ES</x:v>
      </x:c>
      <x:c r="B35" s="37" t="str">
        <x:v>Hot</x:v>
      </x:c>
      <x:c r="C35" s="37" t="str">
        <x:v>Fisiohealth Clínica de Fisioterapia e Pilates</x:v>
      </x:c>
      <x:c r="D35" s="37" t="str">
        <x:v>Fisioterapia/Terapias</x:v>
      </x:c>
      <x:c r="E35" s="37" t="str">
        <x:v>Fisioterapia</x:v>
      </x:c>
      <x:c r="F35" s="37" t="str">
        <x:v>Jardim Camburi</x:v>
      </x:c>
      <x:c r="G35" s="37" t="str">
        <x:v>&lt;=10 km</x:v>
      </x:c>
      <x:c r="H35" s="37" t="str">
        <x:v>Somente social</x:v>
      </x:c>
      <x:c r="I35" s="37" t="str">
        <x:v>Instagram como site</x:v>
      </x:c>
      <x:c r="J35" s="37" t="str">
        <x:v>(27) 3014-9801</x:v>
      </x:c>
      <x:c r="K35" s="37" t="str">
        <x:v>https://seniorbemestar.com/clinicas-de-fisioterapia/vitoria/fisiohealth-clinica-de-fisioterapia-e-pilates/</x:v>
      </x:c>
      <x:c r="L35" s="37" t="str">
        <x:v>Boa presença local, mas sem página própria.</x:v>
      </x:c>
      <x:c r="M35" s="37" t="str">
        <x:v>High</x:v>
      </x:c>
      <x:c r="N35" s="37" t="str">
        <x:v>Também aparece em Cylex, BuscaFisio e Solutudo.</x:v>
      </x:c>
      <x:c r="O35" s="38" t="str">
        <x:v>Abordar com site simples para captação por bairro.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 ht="49.5" customHeight="1">
      <x:c r="A36" s="36" t="str">
        <x:v>Vitoria/ES</x:v>
      </x:c>
      <x:c r="B36" s="37" t="str">
        <x:v>Hot</x:v>
      </x:c>
      <x:c r="C36" s="37" t="str">
        <x:v>Fisio Ativa Clínica de Fisioterapia e Pilates</x:v>
      </x:c>
      <x:c r="D36" s="37" t="str">
        <x:v>Fisioterapia/Terapias</x:v>
      </x:c>
      <x:c r="E36" s="37" t="str">
        <x:v>Fisioterapia</x:v>
      </x:c>
      <x:c r="F36" s="37" t="str">
        <x:v>Praia do Canto</x:v>
      </x:c>
      <x:c r="G36" s="37" t="str">
        <x:v>&lt;=10 km</x:v>
      </x:c>
      <x:c r="H36" s="37" t="str">
        <x:v>Sem site encontrado</x:v>
      </x:c>
      <x:c r="I36" s="37" t="str">
        <x:v>Diretório local</x:v>
      </x:c>
      <x:c r="J36" s="37" t="str">
        <x:v>(27) 3315-5190</x:v>
      </x:c>
      <x:c r="K36" s="37" t="str">
        <x:v>https://br.physiofinder.net/pt-br/i/23000-fisio-ativa-clinica-de-fisioterapia-e-pilates/</x:v>
      </x:c>
      <x:c r="L36" s="37" t="str">
        <x:v>Avaliações e telefone, mas sem domínio próprio encontrado.</x:v>
      </x:c>
      <x:c r="M36" s="37" t="str">
        <x:v>Medium</x:v>
      </x:c>
      <x:c r="N36" s="37" t="str">
        <x:v>Busca exata não retornou domínio próprio confiável.</x:v>
      </x:c>
      <x:c r="O36" s="38" t="str">
        <x:v>Validar Instagram antes do contato e propor site de serviços.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 ht="49.5" customHeight="1">
      <x:c r="A37" s="36" t="str">
        <x:v>Vitoria/ES</x:v>
      </x:c>
      <x:c r="B37" s="37" t="str">
        <x:v>Hot</x:v>
      </x:c>
      <x:c r="C37" s="37" t="str">
        <x:v>Flexfisio Clínica de Fisioterapia e Pilates</x:v>
      </x:c>
      <x:c r="D37" s="37" t="str">
        <x:v>Fisioterapia/Terapias</x:v>
      </x:c>
      <x:c r="E37" s="37" t="str">
        <x:v>Fisioterapia</x:v>
      </x:c>
      <x:c r="F37" s="37" t="str">
        <x:v>Jardim Camburi</x:v>
      </x:c>
      <x:c r="G37" s="37" t="str">
        <x:v>&lt;=10 km</x:v>
      </x:c>
      <x:c r="H37" s="37" t="str">
        <x:v>Sem site encontrado</x:v>
      </x:c>
      <x:c r="I37" s="37" t="str">
        <x:v>Diretório Fisio.net</x:v>
      </x:c>
      <x:c r="J37" s="37" t="str">
        <x:v>(27) 9873-8348</x:v>
      </x:c>
      <x:c r="K37" s="37" t="str">
        <x:v>https://fisio.net.br/sobre/flexfisio-vitoria-es-28420001</x:v>
      </x:c>
      <x:c r="L37" s="37" t="str">
        <x:v>Pequena clínica sem site próprio visível.</x:v>
      </x:c>
      <x:c r="M37" s="37" t="str">
        <x:v>Medium</x:v>
      </x:c>
      <x:c r="N37" s="37" t="str">
        <x:v>Diretório marca empresa como não reivindicada.</x:v>
      </x:c>
      <x:c r="O37" s="38" t="str">
        <x:v>Abordar com proposta de página local e Google Business.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 ht="49.5" customHeight="1">
      <x:c r="A38" s="36" t="str">
        <x:v>Vitoria/ES</x:v>
      </x:c>
      <x:c r="B38" s="37" t="str">
        <x:v>Hot</x:v>
      </x:c>
      <x:c r="C38" s="37" t="str">
        <x:v>Espaço Fisio LTDA</x:v>
      </x:c>
      <x:c r="D38" s="37" t="str">
        <x:v>Fisioterapia/Terapias</x:v>
      </x:c>
      <x:c r="E38" s="37" t="str">
        <x:v>Fisioterapia e pilates</x:v>
      </x:c>
      <x:c r="F38" s="37" t="str">
        <x:v>Enseada do Suá</x:v>
      </x:c>
      <x:c r="G38" s="37" t="str">
        <x:v>&lt;=10 km</x:v>
      </x:c>
      <x:c r="H38" s="37" t="str">
        <x:v>Sem site encontrado</x:v>
      </x:c>
      <x:c r="I38" s="37" t="str">
        <x:v>Diretório local</x:v>
      </x:c>
      <x:c r="J38" s="37" t="str">
        <x:v>(27) 98153-8335</x:v>
      </x:c>
      <x:c r="K38" s="37" t="str">
        <x:v>https://www.locaisdobrasil.com.br/encontre/clinica-de-fisioterapia/vitoria-es/clinica-de-fisioterapia-e-pilates-espaco-fisio-ltda/6507c72e831a9c92fa853c30</x:v>
      </x:c>
      <x:c r="L38" s="37" t="str">
        <x:v>Tem telefone e endereço, mas depende de listagem.</x:v>
      </x:c>
      <x:c r="M38" s="37" t="str">
        <x:v>Medium</x:v>
      </x:c>
      <x:c r="N38" s="37" t="str">
        <x:v>Convênios listados em fonte pública.</x:v>
      </x:c>
      <x:c r="O38" s="38" t="str">
        <x:v>Oferecer site de credenciamentos, convênios e horários.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 ht="49.5" customHeight="1">
      <x:c r="A39" s="36" t="str">
        <x:v>Vitoria/ES</x:v>
      </x:c>
      <x:c r="B39" s="37" t="str">
        <x:v>Hot</x:v>
      </x:c>
      <x:c r="C39" s="37" t="str">
        <x:v>Viva Odontologia</x:v>
      </x:c>
      <x:c r="D39" s="37" t="str">
        <x:v>Odontologia</x:v>
      </x:c>
      <x:c r="E39" s="37" t="str">
        <x:v>Odontologia</x:v>
      </x:c>
      <x:c r="F39" s="37" t="str">
        <x:v>Santa Lúcia</x:v>
      </x:c>
      <x:c r="G39" s="37" t="str">
        <x:v>&lt;=10 km</x:v>
      </x:c>
      <x:c r="H39" s="37" t="str">
        <x:v>Somente social</x:v>
      </x:c>
      <x:c r="I39" s="37" t="str">
        <x:v>Instagram / sem site listado</x:v>
      </x:c>
      <x:c r="J39" s="37" t="str">
        <x:v>(27) 3026-1235</x:v>
      </x:c>
      <x:c r="K39" s="37" t="str">
        <x:v>https://br.todosnegocios.com/pt/viva-odontologia_2H-27-3026-1235</x:v>
      </x:c>
      <x:c r="L39" s="37" t="str">
        <x:v>Clínica odontológica ativa sem site próprio.</x:v>
      </x:c>
      <x:c r="M39" s="37" t="str">
        <x:v>High</x:v>
      </x:c>
      <x:c r="N39" s="37" t="str">
        <x:v>Fonte informa Instagram e ausência de site listado.</x:v>
      </x:c>
      <x:c r="O39" s="38" t="str">
        <x:v>Abordar com site focado em especialidades e agendamento.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 ht="49.5" customHeight="1">
      <x:c r="A40" s="36" t="str">
        <x:v>Vitoria/ES</x:v>
      </x:c>
      <x:c r="B40" s="37" t="str">
        <x:v>Hot</x:v>
      </x:c>
      <x:c r="C40" s="37" t="str">
        <x:v>COI Odontologia</x:v>
      </x:c>
      <x:c r="D40" s="37" t="str">
        <x:v>Odontologia</x:v>
      </x:c>
      <x:c r="E40" s="37" t="str">
        <x:v>Odontologia</x:v>
      </x:c>
      <x:c r="F40" s="37" t="str">
        <x:v>Praia do Suá</x:v>
      </x:c>
      <x:c r="G40" s="37" t="str">
        <x:v>&lt;=10 km</x:v>
      </x:c>
      <x:c r="H40" s="37" t="str">
        <x:v>Somente social</x:v>
      </x:c>
      <x:c r="I40" s="37" t="str">
        <x:v>Instagram @coiodontovix</x:v>
      </x:c>
      <x:c r="J40" s="37" t="str">
        <x:v>(27) 99610-5491</x:v>
      </x:c>
      <x:c r="K40" s="37" t="str">
        <x:v>https://ajudes.org.br/project/coi-odontologia/</x:v>
      </x:c>
      <x:c r="L40" s="37" t="str">
        <x:v>Oferta completa e captação ainda dependente de social.</x:v>
      </x:c>
      <x:c r="M40" s="37" t="str">
        <x:v>High</x:v>
      </x:c>
      <x:c r="N40" s="37" t="str">
        <x:v>Fonte Ajudes lista serviços, telefone e Instagram.</x:v>
      </x:c>
      <x:c r="O40" s="38" t="str">
        <x:v>Abordar com site para implantes, estética e tráfego local.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 ht="49.5" customHeight="1">
      <x:c r="A41" s="36" t="str">
        <x:v>Vitoria/ES</x:v>
      </x:c>
      <x:c r="B41" s="37" t="str">
        <x:v>Hot</x:v>
      </x:c>
      <x:c r="C41" s="37" t="str">
        <x:v>CIEO</x:v>
      </x:c>
      <x:c r="D41" s="37" t="str">
        <x:v>Odontologia</x:v>
      </x:c>
      <x:c r="E41" s="37" t="str">
        <x:v>Odontologia</x:v>
      </x:c>
      <x:c r="F41" s="37" t="str">
        <x:v>Vitória</x:v>
      </x:c>
      <x:c r="G41" s="37" t="str">
        <x:v>&lt;=10 km</x:v>
      </x:c>
      <x:c r="H41" s="37" t="str">
        <x:v>Somente Facebook</x:v>
      </x:c>
      <x:c r="I41" s="37" t="str">
        <x:v>Sem site listado</x:v>
      </x:c>
      <x:c r="J41" s="37" t="str">
        <x:v>(27) 3235-2509</x:v>
      </x:c>
      <x:c r="K41" s="37" t="str">
        <x:v>https://br.todosnegocios.com/pt/cieo-centro-integrado-de-especialidades_3V-27-3235-2509</x:v>
      </x:c>
      <x:c r="L41" s="37" t="str">
        <x:v>Tem telefone, avaliações e sem site próprio.</x:v>
      </x:c>
      <x:c r="M41" s="37" t="str">
        <x:v>High</x:v>
      </x:c>
      <x:c r="N41" s="37" t="str">
        <x:v>Fonte informa Facebook e ausência de site listado.</x:v>
      </x:c>
      <x:c r="O41" s="38" t="str">
        <x:v>Abordar com página institucional e prova social.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 ht="49.5" customHeight="1">
      <x:c r="A42" s="36" t="str">
        <x:v>Vitoria/ES</x:v>
      </x:c>
      <x:c r="B42" s="37" t="str">
        <x:v>Hot</x:v>
      </x:c>
      <x:c r="C42" s="37" t="str">
        <x:v>Clínica Dentare</x:v>
      </x:c>
      <x:c r="D42" s="37" t="str">
        <x:v>Odontologia</x:v>
      </x:c>
      <x:c r="E42" s="37" t="str">
        <x:v>Odontologia</x:v>
      </x:c>
      <x:c r="F42" s="37" t="str">
        <x:v>Vitória</x:v>
      </x:c>
      <x:c r="G42" s="37" t="str">
        <x:v>&lt;=10 km</x:v>
      </x:c>
      <x:c r="H42" s="37" t="str">
        <x:v>Sem site encontrado</x:v>
      </x:c>
      <x:c r="I42" s="37" t="str">
        <x:v>Foursquare/diretório</x:v>
      </x:c>
      <x:c r="J42" s="37" t="str">
        <x:v>(27) 3325-9459</x:v>
      </x:c>
      <x:c r="K42" s="37" t="str">
        <x:v>https://br.todosnegocios.com/pt/cl%C3%ADnica-dentare-27-3325-9459</x:v>
      </x:c>
      <x:c r="L42" s="37" t="str">
        <x:v>Clínica com contato público, sem domínio próprio visível.</x:v>
      </x:c>
      <x:c r="M42" s="37" t="str">
        <x:v>Medium</x:v>
      </x:c>
      <x:c r="N42" s="37" t="str">
        <x:v>Busca exata não encontrou site próprio confiável.</x:v>
      </x:c>
      <x:c r="O42" s="38" t="str">
        <x:v>Validar atividade antes do contato e oferecer presença básica.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 ht="49.5" customHeight="1">
      <x:c r="A43" s="36" t="str">
        <x:v>Vitoria/ES</x:v>
      </x:c>
      <x:c r="B43" s="37" t="str">
        <x:v>Hot</x:v>
      </x:c>
      <x:c r="C43" s="37" t="str">
        <x:v>CEO Clínica de Especialidades Odontológicas</x:v>
      </x:c>
      <x:c r="D43" s="37" t="str">
        <x:v>Odontologia</x:v>
      </x:c>
      <x:c r="E43" s="37" t="str">
        <x:v>Odontologia</x:v>
      </x:c>
      <x:c r="F43" s="37" t="str">
        <x:v>Jardim da Penha</x:v>
      </x:c>
      <x:c r="G43" s="37" t="str">
        <x:v>&lt;=10 km</x:v>
      </x:c>
      <x:c r="H43" s="37" t="str">
        <x:v>Somente social/diretório</x:v>
      </x:c>
      <x:c r="I43" s="37" t="str">
        <x:v>Sem site listado</x:v>
      </x:c>
      <x:c r="J43" s="37" t="str">
        <x:v>(27) 3227-8122</x:v>
      </x:c>
      <x:c r="K43" s="37" t="str">
        <x:v>https://br.todosnegocios.com/pt/ceo-cl%C3%ADnica-de-especialidades-27-3227-8122</x:v>
      </x:c>
      <x:c r="L43" s="37" t="str">
        <x:v>Clínica com telefone e ausência de site próprio.</x:v>
      </x:c>
      <x:c r="M43" s="37" t="str">
        <x:v>High</x:v>
      </x:c>
      <x:c r="N43" s="37" t="str">
        <x:v>Fonte informa Facebook e ausência de site listado.</x:v>
      </x:c>
      <x:c r="O43" s="38" t="str">
        <x:v>Abordar com site de especialidades e canais de contato.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 ht="49.5" customHeight="1">
      <x:c r="A44" s="36" t="str">
        <x:v>Vitoria/ES</x:v>
      </x:c>
      <x:c r="B44" s="37" t="str">
        <x:v>Hot</x:v>
      </x:c>
      <x:c r="C44" s="37" t="str">
        <x:v>Max Túlio Clínica Odontológica</x:v>
      </x:c>
      <x:c r="D44" s="37" t="str">
        <x:v>Odontologia</x:v>
      </x:c>
      <x:c r="E44" s="37" t="str">
        <x:v>Odontologia</x:v>
      </x:c>
      <x:c r="F44" s="37" t="str">
        <x:v>Praia do Canto</x:v>
      </x:c>
      <x:c r="G44" s="37" t="str">
        <x:v>&lt;=10 km</x:v>
      </x:c>
      <x:c r="H44" s="37" t="str">
        <x:v>Somente Instagram</x:v>
      </x:c>
      <x:c r="I44" s="37" t="str">
        <x:v>Instagram listado como site</x:v>
      </x:c>
      <x:c r="J44" s="37" t="str">
        <x:v>(27) 3024-1561 / 99848-1178</x:v>
      </x:c>
      <x:c r="K44" s="37" t="str">
        <x:v>https://painelwebservice.cfa.org.br/?a=show&amp;c=pesquisa&amp;id=1044</x:v>
      </x:c>
      <x:c r="L44" s="37" t="str">
        <x:v>Boa especialização, mas sem site próprio.</x:v>
      </x:c>
      <x:c r="M44" s="37" t="str">
        <x:v>Medium</x:v>
      </x:c>
      <x:c r="N44" s="37" t="str">
        <x:v>Fonte lista Instagram como site e unidade em Vitória.</x:v>
      </x:c>
      <x:c r="O44" s="38" t="str">
        <x:v>Abordar com página de especialidades e diferenciais.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 ht="49.5" customHeight="1">
      <x:c r="A45" s="36" t="str">
        <x:v>Vitoria/ES</x:v>
      </x:c>
      <x:c r="B45" s="37" t="str">
        <x:v>Hot</x:v>
      </x:c>
      <x:c r="C45" s="37" t="str">
        <x:v>Dra. Andressa Rocha Odontologia</x:v>
      </x:c>
      <x:c r="D45" s="37" t="str">
        <x:v>Odontologia</x:v>
      </x:c>
      <x:c r="E45" s="37" t="str">
        <x:v>Odontologia estética</x:v>
      </x:c>
      <x:c r="F45" s="37" t="str">
        <x:v>Jardim da Penha</x:v>
      </x:c>
      <x:c r="G45" s="37" t="str">
        <x:v>&lt;=10 km</x:v>
      </x:c>
      <x:c r="H45" s="37" t="str">
        <x:v>Somente social</x:v>
      </x:c>
      <x:c r="I45" s="37" t="str">
        <x:v>Instagram/WhatsApp</x:v>
      </x:c>
      <x:c r="J45" s="37" t="str">
        <x:v>(27) 99979-8481</x:v>
      </x:c>
      <x:c r="K45" s="37" t="str">
        <x:v>https://eguias.net/empresa/dra-andressa-rocha-odontologia-implante-dentario-harmonizacao-facial-em-vitoria/vitoria/es/3548408</x:v>
      </x:c>
      <x:c r="L45" s="37" t="str">
        <x:v>Perfil comercial forte, sem site próprio encontrado.</x:v>
      </x:c>
      <x:c r="M45" s="37" t="str">
        <x:v>Medium</x:v>
      </x:c>
      <x:c r="N45" s="37" t="str">
        <x:v>Fonte lista Instagram e WhatsApp.</x:v>
      </x:c>
      <x:c r="O45" s="38" t="str">
        <x:v>Abordar com landing page de implantes e harmonização.</x:v>
      </x:c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 ht="49.5" customHeight="1">
      <x:c r="A46" s="36" t="str">
        <x:v>Vitoria/ES</x:v>
      </x:c>
      <x:c r="B46" s="37" t="str">
        <x:v>Hot</x:v>
      </x:c>
      <x:c r="C46" s="37" t="str">
        <x:v>Dra. Karine Pimentel Ortodontia</x:v>
      </x:c>
      <x:c r="D46" s="37" t="str">
        <x:v>Odontologia</x:v>
      </x:c>
      <x:c r="E46" s="37" t="str">
        <x:v>Ortodontia</x:v>
      </x:c>
      <x:c r="F46" s="37" t="str">
        <x:v>Santa Lúcia</x:v>
      </x:c>
      <x:c r="G46" s="37" t="str">
        <x:v>&lt;=10 km</x:v>
      </x:c>
      <x:c r="H46" s="37" t="str">
        <x:v>Linktree/social only</x:v>
      </x:c>
      <x:c r="I46" s="37" t="str">
        <x:v>Linktree</x:v>
      </x:c>
      <x:c r="J46" s="37" t="str">
        <x:v>WhatsApp via Linktree</x:v>
      </x:c>
      <x:c r="K46" s="37" t="str">
        <x:v>https://linktr.ee/karinepimentelorto</x:v>
      </x:c>
      <x:c r="L46" s="37" t="str">
        <x:v>Profissional com contato digital, sem domínio próprio.</x:v>
      </x:c>
      <x:c r="M46" s="37" t="str">
        <x:v>Medium</x:v>
      </x:c>
      <x:c r="N46" s="37" t="str">
        <x:v>Linktree informa localização, Instagram e WhatsApp.</x:v>
      </x:c>
      <x:c r="O46" s="38" t="str">
        <x:v>Abordar com site one-page para autoridade em ortodontia.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 ht="49.5" customHeight="1">
      <x:c r="A47" s="36" t="str">
        <x:v>Vitoria/ES</x:v>
      </x:c>
      <x:c r="B47" s="37" t="str">
        <x:v>Hot</x:v>
      </x:c>
      <x:c r="C47" s="37" t="str">
        <x:v>Dra. Aline Bragança</x:v>
      </x:c>
      <x:c r="D47" s="37" t="str">
        <x:v>Odontologia</x:v>
      </x:c>
      <x:c r="E47" s="37" t="str">
        <x:v>Odontologia/Harmonização</x:v>
      </x:c>
      <x:c r="F47" s="37" t="str">
        <x:v>Vitória</x:v>
      </x:c>
      <x:c r="G47" s="37" t="str">
        <x:v>&lt;=10 km</x:v>
      </x:c>
      <x:c r="H47" s="37" t="str">
        <x:v>Linktree/social only</x:v>
      </x:c>
      <x:c r="I47" s="37" t="str">
        <x:v>Linktree</x:v>
      </x:c>
      <x:c r="J47" s="37" t="str">
        <x:v>WhatsApp via Linktree</x:v>
      </x:c>
      <x:c r="K47" s="37" t="str">
        <x:v>https://linktr.ee/dra.alinebraganca</x:v>
      </x:c>
      <x:c r="L47" s="37" t="str">
        <x:v>Depende de Linktree para conversão.</x:v>
      </x:c>
      <x:c r="M47" s="37" t="str">
        <x:v>Medium</x:v>
      </x:c>
      <x:c r="N47" s="37" t="str">
        <x:v>Linktree informa cirurgiã-dentista em Vitória.</x:v>
      </x:c>
      <x:c r="O47" s="38" t="str">
        <x:v>Abordar com página de procedimentos e formulário rápido.</x:v>
      </x:c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 ht="49.5" customHeight="1">
      <x:c r="A48" s="36" t="str">
        <x:v>Vitoria/ES</x:v>
      </x:c>
      <x:c r="B48" s="37" t="str">
        <x:v>Warm</x:v>
      </x:c>
      <x:c r="C48" s="37" t="str">
        <x:v>COEH Clínica Odontológica do Hálito</x:v>
      </x:c>
      <x:c r="D48" s="37" t="str">
        <x:v>Odontologia</x:v>
      </x:c>
      <x:c r="E48" s="37" t="str">
        <x:v>Odontologia</x:v>
      </x:c>
      <x:c r="F48" s="37" t="str">
        <x:v>Santa Lúcia</x:v>
      </x:c>
      <x:c r="G48" s="37" t="str">
        <x:v>&lt;=10 km</x:v>
      </x:c>
      <x:c r="H48" s="37" t="str">
        <x:v>Somente Facebook</x:v>
      </x:c>
      <x:c r="I48" s="37" t="str">
        <x:v>Sem site listado</x:v>
      </x:c>
      <x:c r="J48" s="37" t="str">
        <x:v>Not found</x:v>
      </x:c>
      <x:c r="K48" s="37" t="str">
        <x:v>https://br.todosnegocios.com/pt/coeh-cl%C3%ADnica-odontol%C3%B3gica-do-h%C3%A1lito</x:v>
      </x:c>
      <x:c r="L48" s="37" t="str">
        <x:v>Sem telefone visível, mas há contato comercial por email/Facebook.</x:v>
      </x:c>
      <x:c r="M48" s="37" t="str">
        <x:v>Medium</x:v>
      </x:c>
      <x:c r="N48" s="37" t="str">
        <x:v>Contato incompleto; validar canal antes de priorizar.</x:v>
      </x:c>
      <x:c r="O48" s="38" t="str">
        <x:v>Pesquisar telefone antes do outreach.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 ht="49.5" customHeight="1">
      <x:c r="A49" s="36" t="str">
        <x:v>Vitoria/ES</x:v>
      </x:c>
      <x:c r="B49" s="37" t="str">
        <x:v>Warm</x:v>
      </x:c>
      <x:c r="C49" s="37" t="str">
        <x:v>Laboratório Deomar Bittencourt</x:v>
      </x:c>
      <x:c r="D49" s="37" t="str">
        <x:v>Laboratório</x:v>
      </x:c>
      <x:c r="E49" s="37" t="str">
        <x:v>Laboratório clínico</x:v>
      </x:c>
      <x:c r="F49" s="37" t="str">
        <x:v>Centro/Jardim Camburi</x:v>
      </x:c>
      <x:c r="G49" s="37" t="str">
        <x:v>&lt;=10 km</x:v>
      </x:c>
      <x:c r="H49" s="37" t="str">
        <x:v>Site antigo/histórico</x:v>
      </x:c>
      <x:c r="I49" s="37" t="str">
        <x:v>Sem site listado; domínio histórico</x:v>
      </x:c>
      <x:c r="J49" s="37" t="str">
        <x:v>(27) 3223-0582</x:v>
      </x:c>
      <x:c r="K49" s="37" t="str">
        <x:v>https://br.todosnegocios.com/pt/laborat%C3%B3rio-an%C3%A1lises-cl%C3%ADnicas-deomar-27-3223-0582</x:v>
      </x:c>
      <x:c r="L49" s="37" t="str">
        <x:v>Parece ter lacuna de presença própria atual.</x:v>
      </x:c>
      <x:c r="M49" s="37" t="str">
        <x:v>Medium</x:v>
      </x:c>
      <x:c r="N49" s="37" t="str">
        <x:v>Fonte menciona domínio histórico deomarbittencourt.com.br.</x:v>
      </x:c>
      <x:c r="O49" s="38" t="str">
        <x:v>Validar operação atual e propor atualização de presença.</x:v>
      </x:c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 ht="49.5" customHeight="1">
      <x:c r="A50" s="36" t="str">
        <x:v>Vitoria/ES</x:v>
      </x:c>
      <x:c r="B50" s="37" t="str">
        <x:v>Hot</x:v>
      </x:c>
      <x:c r="C50" s="37" t="str">
        <x:v>LAPACI</x:v>
      </x:c>
      <x:c r="D50" s="37" t="str">
        <x:v>Laboratório</x:v>
      </x:c>
      <x:c r="E50" s="37" t="str">
        <x:v>Anatomia patológica/citologia</x:v>
      </x:c>
      <x:c r="F50" s="37" t="str">
        <x:v>Praia do Suá</x:v>
      </x:c>
      <x:c r="G50" s="37" t="str">
        <x:v>&lt;=10 km</x:v>
      </x:c>
      <x:c r="H50" s="37" t="str">
        <x:v>Sem site encontrado</x:v>
      </x:c>
      <x:c r="I50" s="37" t="str">
        <x:v>Diretório Cylex</x:v>
      </x:c>
      <x:c r="J50" s="37" t="str">
        <x:v>(27) 3325-4248</x:v>
      </x:c>
      <x:c r="K50" s="37" t="str">
        <x:v>https://www.cylex.com.br/vitoria/lapaci-laborat%C3%B3rio-de-anatomia-patol%C3%B3gica-e-citologia-ltda-11337545.html</x:v>
      </x:c>
      <x:c r="L50" s="37" t="str">
        <x:v>Laboratório pequeno com telefone e sem site visível.</x:v>
      </x:c>
      <x:c r="M50" s="37" t="str">
        <x:v>Medium</x:v>
      </x:c>
      <x:c r="N50" s="37" t="str">
        <x:v>Fonte pública lista telefone, endereço e horário.</x:v>
      </x:c>
      <x:c r="O50" s="38" t="str">
        <x:v>Abordar com site técnico para médicos e pacientes.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 ht="49.5" customHeight="1">
      <x:c r="A51" s="39" t="str">
        <x:v>Vitoria/ES</x:v>
      </x:c>
      <x:c r="B51" s="40" t="str">
        <x:v>Warm</x:v>
      </x:c>
      <x:c r="C51" s="40" t="str">
        <x:v>Laboratório Biolab</x:v>
      </x:c>
      <x:c r="D51" s="40" t="str">
        <x:v>Laboratório</x:v>
      </x:c>
      <x:c r="E51" s="40" t="str">
        <x:v>Laboratório clínico</x:v>
      </x:c>
      <x:c r="F51" s="40" t="str">
        <x:v>Parque Moscoso</x:v>
      </x:c>
      <x:c r="G51" s="40" t="str">
        <x:v>&lt;=10 km</x:v>
      </x:c>
      <x:c r="H51" s="40" t="str">
        <x:v>Sem site encontrado</x:v>
      </x:c>
      <x:c r="I51" s="40" t="str">
        <x:v>Diretório local</x:v>
      </x:c>
      <x:c r="J51" s="40" t="str">
        <x:v>(27) 3223-5755</x:v>
      </x:c>
      <x:c r="K51" s="40" t="str">
        <x:v>https://www.encontraes.com.br/local/laboratorio-biolab-439311</x:v>
      </x:c>
      <x:c r="L51" s="40" t="str">
        <x:v>Listagem básica, sem canal próprio claro.</x:v>
      </x:c>
      <x:c r="M51" s="40" t="str">
        <x:v>Medium</x:v>
      </x:c>
      <x:c r="N51" s="40" t="str">
        <x:v>Empresa maior/filial: validar se já usa marca corporativa.</x:v>
      </x:c>
      <x:c r="O51" s="41" t="str">
        <x:v>Validar autonomia local antes de ofertar site próprio.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conditionalFormatting sqref="B2:B51">
    <x:cfRule type="containsText" dxfId="0" priority="1" operator="containsText" text="Hot"/>
    <x:cfRule type="containsText" dxfId="1" priority="2" operator="containsText" text="Warm"/>
  </x:conditionalFormatting>
  <x:conditionalFormatting sqref="M2:M51">
    <x:cfRule type="containsText" dxfId="2" priority="3" operator="containsText" text="High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.220001220703125" hidden="0" customWidth="1"/>
    <x:col min="3" max="3" width="2.890000104904175" hidden="0" customWidth="1"/>
    <x:col min="4" max="4" width="21.110000610351562" hidden="0" customWidth="1"/>
    <x:col min="5" max="5" width="12.220000267028809" hidden="0" customWidth="1"/>
  </x:cols>
  <x:sheetData>
    <x:row r="1" ht="31.5" customHeight="1">
      <x:c r="A1" s="49" t="str">
        <x:v>Leads de saude consolidados - Vitoria e Vila Velha/ES</x:v>
      </x:c>
      <x:c r="B1" s="50" t="str">
        <x:v>Leads de saude consolidados - Vitoria e Vila Velha/ES</x:v>
      </x:c>
      <x:c r="C1" s="50" t="str">
        <x:v>Leads de saude consolidados - Vitoria e Vila Velha/ES</x:v>
      </x:c>
      <x:c r="D1" s="50" t="str">
        <x:v>Leads de saude consolidados - Vitoria e Vila Velha/ES</x:v>
      </x:c>
      <x:c r="E1" s="50" t="str">
        <x:v>Leads de saude consolidados - Vitoria e Vila Velha/ES</x:v>
      </x:c>
      <x:c r="F1" s="50" t="str">
        <x:v>Leads de saude consolidados - Vitoria e Vila Velha/ES</x:v>
      </x:c>
      <x:c r="G1" s="50" t="str">
        <x:v>Leads de saude consolidados - Vitoria e Vila Velha/ES</x:v>
      </x:c>
      <x:c r="H1" s="51" t="str">
        <x:v>Leads de saude consolidados - Vitoria e Vila Velha/ES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55" t="str">
        <x:v>Localizacoes</x:v>
      </x:c>
      <x:c r="B3" s="35" t="str">
        <x:v>Vitoria/ES e Vila Velha/ES</x:v>
      </x:c>
      <x:c r="C3" s="1"/>
      <x:c r="D3" s="66" t="str">
        <x:v>Metrica</x:v>
      </x:c>
      <x:c r="E3" s="67" t="str">
        <x:v>Valor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56" t="str">
        <x:v>Arquivos de origem</x:v>
      </x:c>
      <x:c r="B4" s="38" t="str">
        <x:v>leads_saude_vila_velha_es_2026-06-09.xlsx; leads_saude_vitoria_es_2026-06-05.xlsx</x:v>
      </x:c>
      <x:c r="C4" s="1"/>
      <x:c r="D4" s="60" t="str">
        <x:v>Hot</x:v>
      </x:c>
      <x:c r="E4" s="61" t="n">
        <x:f>COUNTIF(Leads!B:B,"Hot")</x:f>
        <x:v>44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56" t="str">
        <x:v>Data da consolidacao</x:v>
      </x:c>
      <x:c r="B5" s="38" t="str">
        <x:v>2026-06-10</x:v>
      </x:c>
      <x:c r="C5" s="1"/>
      <x:c r="D5" s="60" t="str">
        <x:v>Warm</x:v>
      </x:c>
      <x:c r="E5" s="61" t="n">
        <x:f>COUNTIF(Leads!B:B,"Warm")</x:f>
        <x:v>6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56" t="str">
        <x:v>Regra usada</x:v>
      </x:c>
      <x:c r="B6" s="38" t="str">
        <x:v>Todos os leads foram preservados; use a coluna score para filtrar Hot/Warm.</x:v>
      </x:c>
      <x:c r="C6" s="1"/>
      <x:c r="D6" s="60" t="str">
        <x:v>High confidence</x:v>
      </x:c>
      <x:c r="E6" s="61" t="n">
        <x:f>COUNTIF(Leads!M:M,"High")</x:f>
        <x:v>25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56" t="str">
        <x:v>Total de leads</x:v>
      </x:c>
      <x:c r="B7" s="38" t="n">
        <x:f>COUNTA(Leads!C2:C1000)</x:f>
        <x:v>50</x:v>
      </x:c>
      <x:c r="C7" s="1"/>
      <x:c r="D7" s="60" t="str">
        <x:v>Medium confidence</x:v>
      </x:c>
      <x:c r="E7" s="61" t="n">
        <x:f>COUNTIF(Leads!M:M,"Medium")</x:f>
        <x:v>25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56" t="str">
        <x:v>Duplicados removidos</x:v>
      </x:c>
      <x:c r="B8" s="38" t="str">
        <x:v>0</x:v>
      </x:c>
      <x:c r="C8" s="1"/>
      <x:c r="D8" s="60" t="str">
        <x:v>Vitoria/ES</x:v>
      </x:c>
      <x:c r="E8" s="61" t="n">
        <x:f>COUNTIF(Leads!A:A,"Vitoria/ES")</x:f>
        <x:v>20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57" t="str">
        <x:v>Observacao</x:v>
      </x:c>
      <x:c r="B9" s="41" t="str">
        <x:v>Campos foram normalizados para uma unica tabela de prospeccao.</x:v>
      </x:c>
      <x:c r="C9" s="1"/>
      <x:c r="D9" s="60" t="str">
        <x:v>Vila Velha/ES</x:v>
      </x:c>
      <x:c r="E9" s="61" t="n">
        <x:f>COUNTIF(Leads!A:A,"Vila Velha/ES")</x:f>
        <x:v>30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60" t="str">
        <x:v>Odontologia</x:v>
      </x:c>
      <x:c r="E10" s="61" t="n">
        <x:f>COUNTIF(Leads!D:D,"Odontologia")</x:f>
        <x:v>14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62" t="str">
        <x:v>Fisioterapia/Pilates</x:v>
      </x:c>
      <x:c r="E11" s="63" t="n">
        <x:f>COUNTIF(Leads!D:D,"Fisioterapia")+COUNTIF(Leads!D:D,"Pilates")+COUNTIF(Leads!C:C,"*Fisioterapia*")+COUNTIF(Leads!C:C,"*Pilates*")</x:f>
        <x:v>24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71" t="str">
        <x:v>Como usar</x:v>
      </x:c>
      <x:c r="B12" s="72" t="str">
        <x:v>Acao</x:v>
      </x:c>
      <x:c r="C12" s="73" t="str">
        <x:v>Observacao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6" t="str">
        <x:v>Filtrar Hot</x:v>
      </x:c>
      <x:c r="B13" s="37" t="str">
        <x:v>Use filtro na coluna score</x:v>
      </x:c>
      <x:c r="C13" s="38" t="str">
        <x:v>Mantive Warm para nao perder pesquisa ja feita.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6" t="str">
        <x:v>Priorizar contato</x:v>
      </x:c>
      <x:c r="B14" s="37" t="str">
        <x:v>Score Hot + confidence High</x:v>
      </x:c>
      <x:c r="C14" s="38" t="str">
        <x:v>Mais seguro para abordagem inicial.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6" t="str">
        <x:v>Checar site</x:v>
      </x:c>
      <x:c r="B15" s="37" t="str">
        <x:v>Veja website_status e website_or_social</x:v>
      </x:c>
      <x:c r="C15" s="38" t="str">
        <x:v>Social only e No site found sao bons sinais.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6" t="str">
        <x:v>Abrir fonte</x:v>
      </x:c>
      <x:c r="B16" s="37" t="str">
        <x:v>Use source_urls</x:v>
      </x:c>
      <x:c r="C16" s="38" t="str">
        <x:v>Alguns campos tem mais de uma URL separada por ponto e virgula.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36" t="str">
        <x:v>Preparar demo</x:v>
      </x:c>
      <x:c r="B17" s="37" t="str">
        <x:v>Veja business, category, area e notes</x:v>
      </x:c>
      <x:c r="C17" s="38" t="str">
        <x:v>Confirmar dados antes de enviar WhatsApp.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39" t="str">
        <x:v>Registrar acao</x:v>
      </x:c>
      <x:c r="B18" s="40" t="str">
        <x:v>Atualize next_action</x:v>
      </x:c>
      <x:c r="C18" s="41" t="str">
        <x:v>Campo editavel para follow-up.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.110000610351562" hidden="0" customWidth="1"/>
    <x:col min="3" max="3" width="13.329999923706055" hidden="0" customWidth="1"/>
    <x:col min="4" max="4" width="16.670000076293945" hidden="0" customWidth="1"/>
    <x:col min="5" max="5" width="20" hidden="0" customWidth="1"/>
    <x:col min="6" max="6" width="46.66999816894531" hidden="0" customWidth="1"/>
  </x:cols>
  <x:sheetData>
    <x:row r="1" ht="31.5" customHeight="1">
      <x:c r="A1" s="49" t="str">
        <x:v>Primeiros contatos sugeridos</x:v>
      </x:c>
      <x:c r="B1" s="50" t="str">
        <x:v>Primeiros contatos sugeridos</x:v>
      </x:c>
      <x:c r="C1" s="50" t="str">
        <x:v>Primeiros contatos sugeridos</x:v>
      </x:c>
      <x:c r="D1" s="50" t="str">
        <x:v>Primeiros contatos sugeridos</x:v>
      </x:c>
      <x:c r="E1" s="50" t="str">
        <x:v>Primeiros contatos sugeridos</x:v>
      </x:c>
      <x:c r="F1" s="51" t="str">
        <x:v>Primeiros contatos sugeridos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71" t="str">
        <x:v>Prioridade</x:v>
      </x:c>
      <x:c r="B3" s="72" t="str">
        <x:v>Negocio</x:v>
      </x:c>
      <x:c r="C3" s="72" t="str">
        <x:v>Origem</x:v>
      </x:c>
      <x:c r="D3" s="72" t="str">
        <x:v>Segmento</x:v>
      </x:c>
      <x:c r="E3" s="72" t="str">
        <x:v>Telefone</x:v>
      </x:c>
      <x:c r="F3" s="73" t="str">
        <x:v>Motivo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 ht="45" customHeight="1">
      <x:c r="A4" s="36" t="n">
        <x:v>1</x:v>
      </x:c>
      <x:c r="B4" s="37" t="str">
        <x:v>Betafisio</x:v>
      </x:c>
      <x:c r="C4" s="37" t="str">
        <x:v>Vila Velha/ES</x:v>
      </x:c>
      <x:c r="D4" s="37" t="str">
        <x:v>Pilates</x:v>
      </x:c>
      <x:c r="E4" s="37" t="str">
        <x:v>+55 27 99741-7152; +55 27 3063-6012</x:v>
      </x:c>
      <x:c r="F4" s="38" t="str">
        <x:v>Telefone e WhatsApp publicos; sem dominio proprio encontrado.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45" customHeight="1">
      <x:c r="A5" s="36" t="n">
        <x:v>2</x:v>
      </x:c>
      <x:c r="B5" s="37" t="str">
        <x:v>CLIFIT</x:v>
      </x:c>
      <x:c r="C5" s="37" t="str">
        <x:v>Vila Velha/ES</x:v>
      </x:c>
      <x:c r="D5" s="37" t="str">
        <x:v>Fisioterapia</x:v>
      </x:c>
      <x:c r="E5" s="37" t="str">
        <x:v>+55 27 98827-3408</x:v>
      </x:c>
      <x:c r="F5" s="38" t="str">
        <x:v>Atendimento tradicional, mas presenca propria nao apareceu na busca.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45" customHeight="1">
      <x:c r="A6" s="36" t="n">
        <x:v>3</x:v>
      </x:c>
      <x:c r="B6" s="37" t="str">
        <x:v>Clinica Restaurar Fisioterapia e Pilates</x:v>
      </x:c>
      <x:c r="C6" s="37" t="str">
        <x:v>Vila Velha/ES</x:v>
      </x:c>
      <x:c r="D6" s="37" t="str">
        <x:v>Pilates</x:v>
      </x:c>
      <x:c r="E6" s="37" t="str">
        <x:v>+55 27 98113-2733</x:v>
      </x:c>
      <x:c r="F6" s="38" t="str">
        <x:v>Usa bio link, nao site proprio; boa abertura para landing page.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 ht="45" customHeight="1">
      <x:c r="A7" s="36" t="n">
        <x:v>4</x:v>
      </x:c>
      <x:c r="B7" s="37" t="str">
        <x:v>Clinica Viva Sem Dor</x:v>
      </x:c>
      <x:c r="C7" s="37" t="str">
        <x:v>Vila Velha/ES</x:v>
      </x:c>
      <x:c r="D7" s="37" t="str">
        <x:v>Fisioterapia</x:v>
      </x:c>
      <x:c r="E7" s="37" t="str">
        <x:v>+55 27 99810-5020</x:v>
      </x:c>
      <x:c r="F7" s="38" t="str">
        <x:v>Clinca ativa com WhatsApp visivel e sem site proprio encontrado.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 ht="45" customHeight="1">
      <x:c r="A8" s="36" t="n">
        <x:v>5</x:v>
      </x:c>
      <x:c r="B8" s="37" t="str">
        <x:v>Dentista do Trabalhador</x:v>
      </x:c>
      <x:c r="C8" s="37" t="str">
        <x:v>Vila Velha/ES</x:v>
      </x:c>
      <x:c r="D8" s="37" t="str">
        <x:v>Odontologia</x:v>
      </x:c>
      <x:c r="E8" s="37" t="str">
        <x:v>+55 27 99947-3831</x:v>
      </x:c>
      <x:c r="F8" s="38" t="str">
        <x:v>Telefone/WhatsApp publico e sem site proprio encontrado.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 ht="45" customHeight="1">
      <x:c r="A9" s="36" t="n">
        <x:v>6</x:v>
      </x:c>
      <x:c r="B9" s="37" t="str">
        <x:v>Equipe Fisioterapia Especializada</x:v>
      </x:c>
      <x:c r="C9" s="37" t="str">
        <x:v>Vila Velha/ES</x:v>
      </x:c>
      <x:c r="D9" s="37" t="str">
        <x:v>Fisioterapia</x:v>
      </x:c>
      <x:c r="E9" s="37" t="str">
        <x:v>+55 27 3329-8339; +55 27 3329-3673</x:v>
      </x:c>
      <x:c r="F9" s="38" t="str">
        <x:v>Telefone e especialidades publicas; sem dominio proprio encontrado.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 ht="45" customHeight="1">
      <x:c r="A10" s="36" t="n">
        <x:v>7</x:v>
      </x:c>
      <x:c r="B10" s="37" t="str">
        <x:v>Evolucao Centro de Saude</x:v>
      </x:c>
      <x:c r="C10" s="37" t="str">
        <x:v>Vila Velha/ES</x:v>
      </x:c>
      <x:c r="D10" s="37" t="str">
        <x:v>Saude</x:v>
      </x:c>
      <x:c r="E10" s="37" t="str">
        <x:v>+55 27 99244-4185</x:v>
      </x:c>
      <x:c r="F10" s="38" t="str">
        <x:v>Usa Linktree/Doctoralia; oportunidade de site proprio.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 ht="45" customHeight="1">
      <x:c r="A11" s="36" t="n">
        <x:v>8</x:v>
      </x:c>
      <x:c r="B11" s="37" t="str">
        <x:v>Fisiocorporis</x:v>
      </x:c>
      <x:c r="C11" s="37" t="str">
        <x:v>Vila Velha/ES</x:v>
      </x:c>
      <x:c r="D11" s="37" t="str">
        <x:v>Pilates</x:v>
      </x:c>
      <x:c r="E11" s="37" t="str">
        <x:v>+55 27 99916-6692</x:v>
      </x:c>
      <x:c r="F11" s="38" t="str">
        <x:v>Usa cartao/bio link em vez de site proprio.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 ht="45" customHeight="1">
      <x:c r="A12" s="36" t="n">
        <x:v>9</x:v>
      </x:c>
      <x:c r="B12" s="37" t="str">
        <x:v>FisioLife Saude Integrada</x:v>
      </x:c>
      <x:c r="C12" s="37" t="str">
        <x:v>Vila Velha/ES</x:v>
      </x:c>
      <x:c r="D12" s="37" t="str">
        <x:v>Pilates</x:v>
      </x:c>
      <x:c r="E12" s="37" t="str">
        <x:v>+55 27 99873-7295</x:v>
      </x:c>
      <x:c r="F12" s="38" t="str">
        <x:v>Perfil ativo e telefone listado; sem site proprio encontrado.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 ht="45" customHeight="1">
      <x:c r="A13" s="36" t="n">
        <x:v>10</x:v>
      </x:c>
      <x:c r="B13" s="37" t="str">
        <x:v>FisioterapiaHD</x:v>
      </x:c>
      <x:c r="C13" s="37" t="str">
        <x:v>Vila Velha/ES</x:v>
      </x:c>
      <x:c r="D13" s="37" t="str">
        <x:v>Fisioterapia</x:v>
      </x:c>
      <x:c r="E13" s="37" t="str">
        <x:v>+55 27 99988-7148</x:v>
      </x:c>
      <x:c r="F13" s="38" t="str">
        <x:v>Instagram listado como canal; telefone direto.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 ht="45" customHeight="1">
      <x:c r="A14" s="36" t="n">
        <x:v>11</x:v>
      </x:c>
      <x:c r="B14" s="37" t="str">
        <x:v>Merinha Braga Studio Pilates</x:v>
      </x:c>
      <x:c r="C14" s="37" t="str">
        <x:v>Vila Velha/ES</x:v>
      </x:c>
      <x:c r="D14" s="37" t="str">
        <x:v>Pilates</x:v>
      </x:c>
      <x:c r="E14" s="37" t="str">
        <x:v>+55 27 99746-0066</x:v>
      </x:c>
      <x:c r="F14" s="38" t="str">
        <x:v>Instagram e telefone, sem dominio proprio encontrado.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 ht="45" customHeight="1">
      <x:c r="A15" s="39" t="n">
        <x:v>12</x:v>
      </x:c>
      <x:c r="B15" s="40" t="str">
        <x:v>Mover Saude Pilates e Musculacao Terapeutica</x:v>
      </x:c>
      <x:c r="C15" s="40" t="str">
        <x:v>Vila Velha/ES</x:v>
      </x:c>
      <x:c r="D15" s="40" t="str">
        <x:v>Pilates</x:v>
      </x:c>
      <x:c r="E15" s="40" t="str">
        <x:v>+55 27 99905-1156</x:v>
      </x:c>
      <x:c r="F15" s="41" t="str">
        <x:v>Usa link de contato em vez de site proprio.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1:F1"/>
  </x:mergeCells>
  <x:pageMargins left="0.7" right="0.7" top="0.75" bottom="0.75" header="0.3" footer="0.3"/>
</x:worksheet>
</file>